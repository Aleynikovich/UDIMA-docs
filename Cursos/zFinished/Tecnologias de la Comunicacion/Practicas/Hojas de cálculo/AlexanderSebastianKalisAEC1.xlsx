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kaes-my.sharepoint.com/personal/alexander_kalis_kukarob_es/Documents/UDIMA/Tecnologias de la Comunicacion/Practicas/Hojas de cálculo/"/>
    </mc:Choice>
  </mc:AlternateContent>
  <xr:revisionPtr revIDLastSave="0" documentId="8_{9CC10444-60AA-4E96-9DA5-568B091105FA}" xr6:coauthVersionLast="40" xr6:coauthVersionMax="40" xr10:uidLastSave="{00000000-0000-0000-0000-000000000000}"/>
  <bookViews>
    <workbookView xWindow="0" yWindow="0" windowWidth="16380" windowHeight="8190" tabRatio="696" xr2:uid="{00000000-000D-0000-FFFF-FFFF00000000}"/>
  </bookViews>
  <sheets>
    <sheet name="Ejer 1" sheetId="1" r:id="rId1"/>
    <sheet name="Ejer 2" sheetId="3" r:id="rId2"/>
    <sheet name="Ejer 3" sheetId="5" r:id="rId3"/>
    <sheet name="Ejer 4" sheetId="7" r:id="rId4"/>
    <sheet name="Porcentaje notas" sheetId="8" r:id="rId5"/>
  </sheets>
  <definedNames>
    <definedName name="_xlnm._FilterDatabase" localSheetId="3" hidden="1">'Ejer 4'!$A$1:$I$59</definedName>
    <definedName name="_xlnm.Print_Area" localSheetId="2">'Ejer 3'!$A$1:$G$45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2" i="7"/>
  <c r="F8" i="5" l="1"/>
  <c r="F9" i="5"/>
  <c r="F10" i="5"/>
  <c r="F11" i="5"/>
  <c r="F12" i="5"/>
  <c r="F13" i="5"/>
  <c r="F14" i="5"/>
  <c r="F15" i="5"/>
  <c r="F7" i="5"/>
  <c r="E8" i="5"/>
  <c r="E9" i="5"/>
  <c r="E10" i="5"/>
  <c r="E11" i="5"/>
  <c r="E12" i="5"/>
  <c r="E13" i="5"/>
  <c r="E14" i="5"/>
  <c r="E15" i="5"/>
  <c r="E7" i="5"/>
  <c r="D8" i="5"/>
  <c r="D9" i="5"/>
  <c r="D10" i="5"/>
  <c r="D11" i="5"/>
  <c r="D12" i="5"/>
  <c r="D13" i="5"/>
  <c r="D14" i="5"/>
  <c r="D15" i="5"/>
  <c r="D7" i="5"/>
  <c r="C8" i="5"/>
  <c r="C9" i="5"/>
  <c r="C10" i="5"/>
  <c r="C11" i="5"/>
  <c r="C12" i="5"/>
  <c r="C13" i="5"/>
  <c r="C14" i="5"/>
  <c r="C15" i="5"/>
  <c r="C7" i="5"/>
  <c r="D14" i="1"/>
  <c r="F14" i="1" s="1"/>
  <c r="G14" i="1" s="1"/>
  <c r="D15" i="1"/>
  <c r="F15" i="1" s="1"/>
  <c r="G15" i="1" s="1"/>
  <c r="D16" i="1"/>
  <c r="D17" i="1"/>
  <c r="D18" i="1"/>
  <c r="F18" i="1" s="1"/>
  <c r="G18" i="1" s="1"/>
  <c r="D19" i="1"/>
  <c r="F19" i="1" s="1"/>
  <c r="G19" i="1" s="1"/>
  <c r="H19" i="1" s="1"/>
  <c r="D13" i="1"/>
  <c r="F13" i="1" s="1"/>
  <c r="G13" i="1" s="1"/>
  <c r="B4" i="3"/>
  <c r="C4" i="3"/>
  <c r="D4" i="3"/>
  <c r="E4" i="3"/>
  <c r="F4" i="3"/>
  <c r="G4" i="3"/>
  <c r="H4" i="3"/>
  <c r="I4" i="3"/>
  <c r="J4" i="3"/>
  <c r="B5" i="3"/>
  <c r="C5" i="3"/>
  <c r="D5" i="3"/>
  <c r="E5" i="3"/>
  <c r="F5" i="3"/>
  <c r="G5" i="3"/>
  <c r="H5" i="3"/>
  <c r="I5" i="3"/>
  <c r="J5" i="3"/>
  <c r="B6" i="3"/>
  <c r="C6" i="3"/>
  <c r="D6" i="3"/>
  <c r="E6" i="3"/>
  <c r="F6" i="3"/>
  <c r="G6" i="3"/>
  <c r="H6" i="3"/>
  <c r="I6" i="3"/>
  <c r="J6" i="3"/>
  <c r="B7" i="3"/>
  <c r="C7" i="3"/>
  <c r="D7" i="3"/>
  <c r="E7" i="3"/>
  <c r="F7" i="3"/>
  <c r="G7" i="3"/>
  <c r="H7" i="3"/>
  <c r="I7" i="3"/>
  <c r="J7" i="3"/>
  <c r="B8" i="3"/>
  <c r="C8" i="3"/>
  <c r="D8" i="3"/>
  <c r="E8" i="3"/>
  <c r="F8" i="3"/>
  <c r="G8" i="3"/>
  <c r="H8" i="3"/>
  <c r="I8" i="3"/>
  <c r="J8" i="3"/>
  <c r="B9" i="3"/>
  <c r="C9" i="3"/>
  <c r="D9" i="3"/>
  <c r="E9" i="3"/>
  <c r="F9" i="3"/>
  <c r="G9" i="3"/>
  <c r="H9" i="3"/>
  <c r="I9" i="3"/>
  <c r="J9" i="3"/>
  <c r="B10" i="3"/>
  <c r="C10" i="3"/>
  <c r="D10" i="3"/>
  <c r="E10" i="3"/>
  <c r="F10" i="3"/>
  <c r="G10" i="3"/>
  <c r="H10" i="3"/>
  <c r="I10" i="3"/>
  <c r="J10" i="3"/>
  <c r="B11" i="3"/>
  <c r="C11" i="3"/>
  <c r="D11" i="3"/>
  <c r="E11" i="3"/>
  <c r="F11" i="3"/>
  <c r="G11" i="3"/>
  <c r="H11" i="3"/>
  <c r="I11" i="3"/>
  <c r="J11" i="3"/>
  <c r="C3" i="3"/>
  <c r="D3" i="3"/>
  <c r="E3" i="3"/>
  <c r="F3" i="3"/>
  <c r="G3" i="3"/>
  <c r="H3" i="3"/>
  <c r="I3" i="3"/>
  <c r="J3" i="3"/>
  <c r="B3" i="3"/>
  <c r="F16" i="1"/>
  <c r="G16" i="1" s="1"/>
  <c r="H16" i="1" s="1"/>
  <c r="F17" i="1"/>
  <c r="G17" i="1" s="1"/>
  <c r="H17" i="1" s="1"/>
  <c r="E16" i="1"/>
  <c r="E17" i="1"/>
  <c r="E19" i="1"/>
  <c r="E13" i="1"/>
  <c r="H18" i="1" l="1"/>
  <c r="E15" i="1"/>
  <c r="H15" i="1" s="1"/>
  <c r="E14" i="1"/>
  <c r="H14" i="1" s="1"/>
  <c r="E18" i="1"/>
  <c r="H13" i="1"/>
  <c r="J4" i="5"/>
  <c r="H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2" authorId="0" shapeId="0" xr:uid="{00000000-0006-0000-0000-000001000000}">
      <text>
        <r>
          <rPr>
            <sz val="9"/>
            <color indexed="55"/>
            <rFont val="Tahoma"/>
            <family val="2"/>
            <charset val="1"/>
          </rPr>
          <t xml:space="preserve">Rellena del C001 al C007
(Usa el autorrellenado)
</t>
        </r>
      </text>
    </comment>
    <comment ref="D12" authorId="0" shapeId="0" xr:uid="{00000000-0006-0000-0000-000002000000}">
      <text>
        <r>
          <rPr>
            <b/>
            <sz val="9"/>
            <color indexed="55"/>
            <rFont val="Tahoma"/>
            <family val="2"/>
            <charset val="1"/>
          </rPr>
          <t>Unidades*Precio</t>
        </r>
      </text>
    </comment>
    <comment ref="E12" authorId="0" shapeId="0" xr:uid="{00000000-0006-0000-0000-000003000000}">
      <text>
        <r>
          <rPr>
            <b/>
            <sz val="9"/>
            <color indexed="55"/>
            <rFont val="Tahoma"/>
            <family val="2"/>
            <charset val="1"/>
          </rPr>
          <t xml:space="preserve">Bruto*Dto Base
</t>
        </r>
        <r>
          <rPr>
            <sz val="9"/>
            <color indexed="55"/>
            <rFont val="Tahoma"/>
            <family val="2"/>
          </rPr>
          <t>Hay que aplicarlo solo cuando la cantidad del pedido sea superior al valor de la celda F3</t>
        </r>
      </text>
    </comment>
    <comment ref="F12" authorId="0" shapeId="0" xr:uid="{00000000-0006-0000-0000-000004000000}">
      <text>
        <r>
          <rPr>
            <b/>
            <sz val="9"/>
            <color indexed="8"/>
            <rFont val="Tahoma"/>
            <family val="2"/>
          </rPr>
          <t>Bruto * IVA%</t>
        </r>
        <r>
          <rPr>
            <sz val="9"/>
            <color indexed="8"/>
            <rFont val="Tahoma"/>
            <family val="2"/>
          </rPr>
          <t xml:space="preserve">
Usa referencia absoluta a la celda donde está el valor del IVA aplicado</t>
        </r>
      </text>
    </comment>
    <comment ref="G12" authorId="0" shapeId="0" xr:uid="{00000000-0006-0000-0000-000005000000}">
      <text>
        <r>
          <rPr>
            <b/>
            <sz val="9"/>
            <color indexed="8"/>
            <rFont val="Tahoma"/>
            <family val="2"/>
          </rPr>
          <t>Bruto+IVA</t>
        </r>
      </text>
    </comment>
    <comment ref="H12" authorId="0" shapeId="0" xr:uid="{00000000-0006-0000-0000-000006000000}">
      <text>
        <r>
          <rPr>
            <b/>
            <sz val="9"/>
            <color indexed="8"/>
            <rFont val="Tahoma"/>
            <family val="2"/>
            <charset val="1"/>
          </rPr>
          <t xml:space="preserve">Neto - Descuento
</t>
        </r>
      </text>
    </comment>
    <comment ref="G20" authorId="0" shapeId="0" xr:uid="{00000000-0006-0000-0000-000007000000}">
      <text>
        <r>
          <rPr>
            <sz val="9"/>
            <color indexed="55"/>
            <rFont val="Tahoma"/>
            <family val="2"/>
            <charset val="1"/>
          </rPr>
          <t>Total del total: suma de la columna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Castro</author>
  </authors>
  <commentList>
    <comment ref="B3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Debes rellenar esta celda  con referencias a las celdas B2 y A3 de forma que al arrastrarla tanto a derechas como hacía abajo se reproduzcan las tablas de multiplicar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" authorId="0" shapeId="0" xr:uid="{00000000-0006-0000-0200-000001000000}">
      <text>
        <r>
          <rPr>
            <sz val="9"/>
            <color indexed="55"/>
            <rFont val="Tahoma"/>
            <family val="2"/>
            <charset val="1"/>
          </rPr>
          <t>Para pasar de kgf a Newton hay que multiplicar por la aceleración de la gravedad</t>
        </r>
      </text>
    </comment>
    <comment ref="D6" authorId="0" shapeId="0" xr:uid="{00000000-0006-0000-0200-000002000000}">
      <text>
        <r>
          <rPr>
            <sz val="9"/>
            <color indexed="55"/>
            <rFont val="Tahoma"/>
            <family val="2"/>
            <charset val="1"/>
          </rPr>
          <t>Tienes que pasar de metros a milímitros</t>
        </r>
      </text>
    </comment>
    <comment ref="E6" authorId="0" shapeId="0" xr:uid="{00000000-0006-0000-0200-000003000000}">
      <text>
        <r>
          <rPr>
            <sz val="9"/>
            <color indexed="55"/>
            <rFont val="Tahoma"/>
            <family val="2"/>
            <charset val="1"/>
          </rPr>
          <t>Para obtener la deformación, que es adimensional, hay que dividir el alargamiento por la longitud de la muestra</t>
        </r>
      </text>
    </comment>
    <comment ref="F6" authorId="0" shapeId="0" xr:uid="{00000000-0006-0000-0200-000004000000}">
      <text>
        <r>
          <rPr>
            <sz val="9"/>
            <color indexed="55"/>
            <rFont val="Tahoma"/>
            <family val="2"/>
            <charset val="1"/>
          </rPr>
          <t xml:space="preserve">Para obtener la tensión hay que dividir la fuerza en Newton entre la sección de la muestra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300-000001000000}">
      <text>
        <r>
          <rPr>
            <sz val="10"/>
            <rFont val="Arial"/>
            <family val="2"/>
            <charset val="1"/>
          </rPr>
          <t>La nota del curso será 10% de AA, 10% controles, 20% las AEC y 60% el examen presencial</t>
        </r>
      </text>
    </comment>
  </commentList>
</comments>
</file>

<file path=xl/sharedStrings.xml><?xml version="1.0" encoding="utf-8"?>
<sst xmlns="http://schemas.openxmlformats.org/spreadsheetml/2006/main" count="136" uniqueCount="124">
  <si>
    <t>Codigo</t>
  </si>
  <si>
    <t>Descripcion</t>
  </si>
  <si>
    <t>Unidades</t>
  </si>
  <si>
    <t>Bruto</t>
  </si>
  <si>
    <t>Descuento</t>
  </si>
  <si>
    <t>IVA</t>
  </si>
  <si>
    <t>Neto</t>
  </si>
  <si>
    <t>Total</t>
  </si>
  <si>
    <t>C001</t>
  </si>
  <si>
    <t>Manillar</t>
  </si>
  <si>
    <t>C002</t>
  </si>
  <si>
    <t>Frenos</t>
  </si>
  <si>
    <t>Ruedas</t>
  </si>
  <si>
    <t>Horquilla</t>
  </si>
  <si>
    <t>Cuadro</t>
  </si>
  <si>
    <t>Cambio</t>
  </si>
  <si>
    <t>Complementos</t>
  </si>
  <si>
    <t>ARTICULOS</t>
  </si>
  <si>
    <t>PRECIO</t>
  </si>
  <si>
    <t>Descuentos e IVA</t>
  </si>
  <si>
    <t>C003</t>
  </si>
  <si>
    <t>C004</t>
  </si>
  <si>
    <t>C005</t>
  </si>
  <si>
    <t>C006</t>
  </si>
  <si>
    <t>C007</t>
  </si>
  <si>
    <t>X</t>
  </si>
  <si>
    <t>En este ejercicio se trata de usar las las referencias absolutas en las hojas de cálculo</t>
  </si>
  <si>
    <t>Probeta de sección cuadrada</t>
  </si>
  <si>
    <r>
      <t xml:space="preserve">Deformación </t>
    </r>
    <r>
      <rPr>
        <sz val="10"/>
        <rFont val="Symbol"/>
        <family val="1"/>
        <charset val="2"/>
      </rPr>
      <t>e</t>
    </r>
    <r>
      <rPr>
        <sz val="10"/>
        <rFont val="Arial"/>
        <family val="2"/>
        <charset val="1"/>
      </rPr>
      <t>:</t>
    </r>
  </si>
  <si>
    <r>
      <t>e</t>
    </r>
    <r>
      <rPr>
        <sz val="10"/>
        <rFont val="Arial"/>
        <family val="2"/>
        <charset val="1"/>
      </rPr>
      <t xml:space="preserve"> =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  <charset val="1"/>
      </rPr>
      <t>l/l</t>
    </r>
    <r>
      <rPr>
        <vertAlign val="subscript"/>
        <sz val="10"/>
        <rFont val="Arial"/>
        <family val="2"/>
        <charset val="1"/>
      </rPr>
      <t>0</t>
    </r>
  </si>
  <si>
    <t>1 m =</t>
  </si>
  <si>
    <t>mm</t>
  </si>
  <si>
    <t>Longitud de la muestra</t>
  </si>
  <si>
    <r>
      <t xml:space="preserve">Tensión 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  <charset val="1"/>
      </rPr>
      <t>:</t>
    </r>
  </si>
  <si>
    <r>
      <t xml:space="preserve">s </t>
    </r>
    <r>
      <rPr>
        <sz val="10"/>
        <color indexed="55"/>
        <rFont val="Arial"/>
        <family val="2"/>
        <charset val="1"/>
      </rPr>
      <t>= F/A</t>
    </r>
    <r>
      <rPr>
        <vertAlign val="subscript"/>
        <sz val="10"/>
        <color indexed="55"/>
        <rFont val="Arial"/>
        <family val="2"/>
        <charset val="1"/>
      </rPr>
      <t>0</t>
    </r>
  </si>
  <si>
    <t>g =</t>
  </si>
  <si>
    <r>
      <t>m/s</t>
    </r>
    <r>
      <rPr>
        <vertAlign val="superscript"/>
        <sz val="10"/>
        <rFont val="Arial"/>
        <family val="2"/>
        <charset val="1"/>
      </rPr>
      <t>2</t>
    </r>
  </si>
  <si>
    <t>Lado de la sección</t>
  </si>
  <si>
    <t>Sección de la muestra</t>
  </si>
  <si>
    <r>
      <t>mm</t>
    </r>
    <r>
      <rPr>
        <vertAlign val="superscript"/>
        <sz val="10"/>
        <rFont val="Arial"/>
        <family val="2"/>
        <charset val="1"/>
      </rPr>
      <t>2</t>
    </r>
  </si>
  <si>
    <t>Fuerza F (kgf)</t>
  </si>
  <si>
    <r>
      <t xml:space="preserve">Alargamiento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  <charset val="1"/>
      </rPr>
      <t>l (m)</t>
    </r>
  </si>
  <si>
    <t>Fuerza F (N)</t>
  </si>
  <si>
    <r>
      <t xml:space="preserve">Alargamiento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  <charset val="1"/>
      </rPr>
      <t>l (mm)</t>
    </r>
  </si>
  <si>
    <r>
      <t xml:space="preserve">Deformación </t>
    </r>
    <r>
      <rPr>
        <sz val="10"/>
        <rFont val="Symbol"/>
        <family val="1"/>
        <charset val="2"/>
      </rPr>
      <t>e</t>
    </r>
  </si>
  <si>
    <r>
      <t xml:space="preserve">Tensión 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  <charset val="1"/>
      </rPr>
      <t xml:space="preserve">   </t>
    </r>
    <r>
      <rPr>
        <sz val="9"/>
        <rFont val="Arial"/>
        <family val="2"/>
        <charset val="1"/>
      </rPr>
      <t>(N/mm</t>
    </r>
    <r>
      <rPr>
        <vertAlign val="superscript"/>
        <sz val="9"/>
        <rFont val="Arial"/>
        <family val="2"/>
        <charset val="1"/>
      </rPr>
      <t>2</t>
    </r>
    <r>
      <rPr>
        <sz val="9"/>
        <rFont val="Arial"/>
        <family val="2"/>
        <charset val="1"/>
      </rPr>
      <t>=MPa)</t>
    </r>
  </si>
  <si>
    <t>Alumno</t>
  </si>
  <si>
    <t>AA1</t>
  </si>
  <si>
    <t>AA2</t>
  </si>
  <si>
    <t>AEC 1</t>
  </si>
  <si>
    <t>AEC2 2</t>
  </si>
  <si>
    <t>control 1</t>
  </si>
  <si>
    <t>control 2</t>
  </si>
  <si>
    <t>examen</t>
  </si>
  <si>
    <t>Nota curso</t>
  </si>
  <si>
    <t>Alumno 1</t>
  </si>
  <si>
    <t>Alumno 2</t>
  </si>
  <si>
    <t>Alumno 3</t>
  </si>
  <si>
    <t>Alumno 4</t>
  </si>
  <si>
    <t>Alumno 5</t>
  </si>
  <si>
    <t>Alumno 6</t>
  </si>
  <si>
    <t>Alumno 7</t>
  </si>
  <si>
    <t>Alumno 8</t>
  </si>
  <si>
    <t>Alumno 9</t>
  </si>
  <si>
    <t>Alumno 10</t>
  </si>
  <si>
    <t>Alumno 11</t>
  </si>
  <si>
    <t>Alumno 12</t>
  </si>
  <si>
    <t>Alumno 13</t>
  </si>
  <si>
    <t>Alumno 14</t>
  </si>
  <si>
    <t>Alumno 15</t>
  </si>
  <si>
    <t>Alumno 16</t>
  </si>
  <si>
    <t>Alumno 17</t>
  </si>
  <si>
    <t>Alumno 18</t>
  </si>
  <si>
    <t>Alumno 19</t>
  </si>
  <si>
    <t>Alumno 20</t>
  </si>
  <si>
    <t>Alumno 21</t>
  </si>
  <si>
    <t>Alumno 22</t>
  </si>
  <si>
    <t>Alumno 23</t>
  </si>
  <si>
    <t>Alumno 24</t>
  </si>
  <si>
    <t>Alumno 25</t>
  </si>
  <si>
    <t>Alumno 26</t>
  </si>
  <si>
    <t>Alumno 27</t>
  </si>
  <si>
    <t>Alumno 28</t>
  </si>
  <si>
    <t>Alumno 29</t>
  </si>
  <si>
    <t>Alumno 30</t>
  </si>
  <si>
    <t>Alumno 31</t>
  </si>
  <si>
    <t>Alumno 32</t>
  </si>
  <si>
    <t>Alumno 33</t>
  </si>
  <si>
    <t>Alumno 34</t>
  </si>
  <si>
    <t>Alumno 35</t>
  </si>
  <si>
    <t>Alumno 36</t>
  </si>
  <si>
    <t>Alumno 37</t>
  </si>
  <si>
    <t>Alumno 38</t>
  </si>
  <si>
    <t>Alumno 39</t>
  </si>
  <si>
    <t>Alumno 40</t>
  </si>
  <si>
    <t>Alumno 41</t>
  </si>
  <si>
    <t>Alumno 42</t>
  </si>
  <si>
    <t>Alumno 43</t>
  </si>
  <si>
    <t>Alumno 44</t>
  </si>
  <si>
    <t>Alumno 45</t>
  </si>
  <si>
    <t>Alumno 46</t>
  </si>
  <si>
    <t>Alumno 47</t>
  </si>
  <si>
    <t>Alumno 48</t>
  </si>
  <si>
    <t>Alumno 49</t>
  </si>
  <si>
    <t>Alumno 50</t>
  </si>
  <si>
    <t>Alumno 51</t>
  </si>
  <si>
    <t>Alumno 52</t>
  </si>
  <si>
    <t>Alumno 53</t>
  </si>
  <si>
    <t>Alumno 54</t>
  </si>
  <si>
    <t>Alumno 55</t>
  </si>
  <si>
    <t>Alumno 56</t>
  </si>
  <si>
    <t>Alumno 57</t>
  </si>
  <si>
    <t>Alumno 58</t>
  </si>
  <si>
    <t>Numeró mínimo para aplicar descuento</t>
  </si>
  <si>
    <t>Pedido de Deportes JUANITO</t>
  </si>
  <si>
    <t>Tablas de multiplicar con referencias absolutas</t>
  </si>
  <si>
    <t>Debes rellenar la celda B3 con referencias a las celdas B2 y A3 de forma que al arrastrarla tanto a derechas como hacía abajo se reproduzcan las tablas de multiplicar</t>
  </si>
  <si>
    <t>Arrastar la celda B3 hacia la derecha y hacia abajo hasta completar las tablas de multiplicar</t>
  </si>
  <si>
    <t>Todas las operaciones deben hacerse de forma que si se insertan 1000 filas se puedan seguir realizando</t>
  </si>
  <si>
    <t>Cuando pongas una fórmula insertar referencias a celdas. No utilizar los valores de las celdas en las fórmulas</t>
  </si>
  <si>
    <t>AA</t>
  </si>
  <si>
    <t>Controles</t>
  </si>
  <si>
    <t>AEC</t>
  </si>
  <si>
    <t>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</si>
</sst>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C0A];[Red]\-#,##0.00\ [$€-C0A]"/>
    <numFmt numFmtId="165" formatCode="#,##0.00&quot; €&quot;"/>
  </numFmts>
  <fonts count="21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9"/>
      <color indexed="55"/>
      <name val="Tahoma"/>
      <family val="2"/>
      <charset val="1"/>
    </font>
    <font>
      <b/>
      <sz val="9"/>
      <color indexed="55"/>
      <name val="Tahoma"/>
      <family val="2"/>
      <charset val="1"/>
    </font>
    <font>
      <sz val="10"/>
      <name val="Symbol"/>
      <family val="1"/>
      <charset val="2"/>
    </font>
    <font>
      <vertAlign val="subscript"/>
      <sz val="10"/>
      <name val="Arial"/>
      <family val="2"/>
      <charset val="1"/>
    </font>
    <font>
      <sz val="10"/>
      <color indexed="55"/>
      <name val="Arial"/>
      <family val="2"/>
      <charset val="1"/>
    </font>
    <font>
      <vertAlign val="subscript"/>
      <sz val="10"/>
      <color indexed="55"/>
      <name val="Arial"/>
      <family val="2"/>
      <charset val="1"/>
    </font>
    <font>
      <vertAlign val="superscript"/>
      <sz val="10"/>
      <name val="Arial"/>
      <family val="2"/>
      <charset val="1"/>
    </font>
    <font>
      <sz val="9"/>
      <name val="Arial"/>
      <family val="2"/>
      <charset val="1"/>
    </font>
    <font>
      <vertAlign val="superscript"/>
      <sz val="9"/>
      <name val="Arial"/>
      <family val="2"/>
      <charset val="1"/>
    </font>
    <font>
      <b/>
      <sz val="10"/>
      <name val="Arial"/>
      <family val="2"/>
      <charset val="1"/>
    </font>
    <font>
      <sz val="9"/>
      <color indexed="55"/>
      <name val="Tahoma"/>
      <family val="2"/>
    </font>
    <font>
      <sz val="11"/>
      <color indexed="8"/>
      <name val="Calibri"/>
      <family val="2"/>
      <charset val="1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b/>
      <sz val="9"/>
      <color indexed="8"/>
      <name val="Tahoma"/>
      <family val="2"/>
      <charset val="1"/>
    </font>
    <font>
      <sz val="9"/>
      <color indexed="81"/>
      <name val="Tahoma"/>
      <family val="2"/>
    </font>
    <font>
      <sz val="11"/>
      <color rgb="FF000000"/>
      <name val="Calibri"/>
      <family val="2"/>
      <charset val="1"/>
    </font>
    <font>
      <sz val="10"/>
      <color rgb="FF000000"/>
      <name val="Symbol"/>
      <family val="1"/>
      <charset val="2"/>
    </font>
    <font>
      <b/>
      <sz val="14"/>
      <color rgb="FF000000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rgb="FFFFFF00"/>
        <bgColor rgb="FF993300"/>
      </patternFill>
    </fill>
    <fill>
      <patternFill patternType="solid">
        <fgColor rgb="FF00B0F0"/>
        <bgColor rgb="FF008080"/>
      </patternFill>
    </fill>
    <fill>
      <patternFill patternType="solid">
        <fgColor theme="3" tint="0.79998168889431442"/>
        <bgColor rgb="FF008080"/>
      </patternFill>
    </fill>
    <fill>
      <patternFill patternType="solid">
        <fgColor theme="3" tint="0.79998168889431442"/>
        <bgColor rgb="FFCC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3" fillId="0" borderId="0"/>
    <xf numFmtId="0" fontId="1" fillId="0" borderId="0"/>
  </cellStyleXfs>
  <cellXfs count="37">
    <xf numFmtId="0" fontId="0" fillId="0" borderId="0" xfId="0"/>
    <xf numFmtId="0" fontId="18" fillId="0" borderId="0" xfId="2" applyFont="1"/>
    <xf numFmtId="0" fontId="18" fillId="2" borderId="1" xfId="2" applyFont="1" applyFill="1" applyBorder="1"/>
    <xf numFmtId="0" fontId="18" fillId="0" borderId="1" xfId="2" applyFont="1" applyBorder="1"/>
    <xf numFmtId="164" fontId="18" fillId="0" borderId="1" xfId="2" applyNumberFormat="1" applyFont="1" applyBorder="1"/>
    <xf numFmtId="9" fontId="18" fillId="0" borderId="1" xfId="2" applyNumberFormat="1" applyFont="1" applyBorder="1"/>
    <xf numFmtId="0" fontId="1" fillId="0" borderId="0" xfId="2" applyFont="1"/>
    <xf numFmtId="0" fontId="4" fillId="0" borderId="0" xfId="2" applyFont="1"/>
    <xf numFmtId="0" fontId="1" fillId="0" borderId="0" xfId="2" applyFont="1" applyAlignment="1">
      <alignment horizontal="right"/>
    </xf>
    <xf numFmtId="0" fontId="1" fillId="0" borderId="0" xfId="2" applyFont="1" applyAlignment="1">
      <alignment horizontal="center"/>
    </xf>
    <xf numFmtId="0" fontId="19" fillId="0" borderId="0" xfId="2" applyFont="1"/>
    <xf numFmtId="0" fontId="1" fillId="0" borderId="2" xfId="2" applyFont="1" applyBorder="1" applyAlignment="1">
      <alignment horizontal="center"/>
    </xf>
    <xf numFmtId="0" fontId="1" fillId="0" borderId="1" xfId="2" applyFont="1" applyBorder="1" applyAlignment="1">
      <alignment horizontal="center"/>
    </xf>
    <xf numFmtId="0" fontId="1" fillId="0" borderId="0" xfId="2" applyFont="1" applyBorder="1"/>
    <xf numFmtId="0" fontId="1" fillId="0" borderId="0" xfId="2" applyBorder="1"/>
    <xf numFmtId="0" fontId="11" fillId="0" borderId="0" xfId="2" applyFont="1" applyBorder="1" applyAlignment="1">
      <alignment horizontal="center" vertical="center" wrapText="1"/>
    </xf>
    <xf numFmtId="0" fontId="1" fillId="0" borderId="0" xfId="2" applyFont="1" applyBorder="1" applyAlignment="1">
      <alignment horizontal="left" wrapText="1"/>
    </xf>
    <xf numFmtId="0" fontId="1" fillId="0" borderId="0" xfId="2" applyBorder="1" applyAlignment="1">
      <alignment horizontal="center" wrapText="1"/>
    </xf>
    <xf numFmtId="0" fontId="18" fillId="3" borderId="3" xfId="2" applyFont="1" applyFill="1" applyBorder="1"/>
    <xf numFmtId="0" fontId="18" fillId="3" borderId="4" xfId="2" applyFont="1" applyFill="1" applyBorder="1"/>
    <xf numFmtId="0" fontId="18" fillId="3" borderId="5" xfId="2" applyFont="1" applyFill="1" applyBorder="1"/>
    <xf numFmtId="0" fontId="18" fillId="0" borderId="1" xfId="2" applyFont="1" applyBorder="1"/>
    <xf numFmtId="165" fontId="18" fillId="4" borderId="1" xfId="2" applyNumberFormat="1" applyFont="1" applyFill="1" applyBorder="1"/>
    <xf numFmtId="0" fontId="20" fillId="0" borderId="0" xfId="2" applyFont="1"/>
    <xf numFmtId="0" fontId="20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ont="1" applyFill="1" applyBorder="1" applyAlignment="1">
      <alignment horizontal="right"/>
    </xf>
    <xf numFmtId="0" fontId="18" fillId="0" borderId="0" xfId="2" applyFont="1"/>
    <xf numFmtId="0" fontId="1" fillId="0" borderId="0" xfId="2" applyBorder="1" applyAlignment="1">
      <alignment horizontal="left"/>
    </xf>
    <xf numFmtId="0" fontId="1" fillId="8" borderId="6" xfId="2" applyFont="1" applyFill="1" applyBorder="1" applyAlignment="1">
      <alignment horizontal="center" vertical="center" wrapText="1"/>
    </xf>
    <xf numFmtId="0" fontId="1" fillId="8" borderId="7" xfId="2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center"/>
    </xf>
    <xf numFmtId="165" fontId="0" fillId="4" borderId="1" xfId="2" applyNumberFormat="1" applyFont="1" applyFill="1" applyBorder="1"/>
    <xf numFmtId="9" fontId="1" fillId="0" borderId="0" xfId="2" applyNumberFormat="1" applyBorder="1" applyAlignment="1">
      <alignment horizontal="center" wrapText="1"/>
    </xf>
    <xf numFmtId="2" fontId="1" fillId="0" borderId="0" xfId="2" applyNumberFormat="1" applyBorder="1" applyAlignment="1">
      <alignment horizontal="center" wrapText="1"/>
    </xf>
    <xf numFmtId="2" fontId="1" fillId="0" borderId="0" xfId="2" applyNumberFormat="1"/>
  </cellXfs>
  <cellStyles count="3">
    <cellStyle name="Normal" xfId="0" builtinId="0"/>
    <cellStyle name="Normal 2" xfId="1" xr:uid="{00000000-0005-0000-0000-000001000000}"/>
    <cellStyle name="TableStyleLight1" xfId="2" xr:uid="{00000000-0005-0000-0000-000002000000}"/>
  </cellStyles>
  <dxfs count="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78787"/>
      <rgbColor rgb="009999FF"/>
      <rgbColor rgb="00BE4B48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4A7EBB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'Ejer 3'!$F$6</c:f>
              <c:strCache>
                <c:ptCount val="1"/>
                <c:pt idx="0">
                  <c:v>Tensión s   (N/mm2=MPa)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'Ejer 3'!$E$7:$E$15</c:f>
              <c:numCache>
                <c:formatCode>General</c:formatCode>
                <c:ptCount val="9"/>
                <c:pt idx="0">
                  <c:v>0</c:v>
                </c:pt>
                <c:pt idx="1">
                  <c:v>5.9999999999999995E-4</c:v>
                </c:pt>
                <c:pt idx="2">
                  <c:v>1.1999999999999999E-3</c:v>
                </c:pt>
                <c:pt idx="3">
                  <c:v>2.3999999999999998E-3</c:v>
                </c:pt>
                <c:pt idx="4">
                  <c:v>3.3999999999999998E-3</c:v>
                </c:pt>
                <c:pt idx="5">
                  <c:v>8.6E-3</c:v>
                </c:pt>
                <c:pt idx="6">
                  <c:v>2.4E-2</c:v>
                </c:pt>
                <c:pt idx="7">
                  <c:v>3.1E-2</c:v>
                </c:pt>
                <c:pt idx="8">
                  <c:v>3.7999999999999999E-2</c:v>
                </c:pt>
              </c:numCache>
            </c:numRef>
          </c:xVal>
          <c:yVal>
            <c:numRef>
              <c:f>'Ejer 3'!$F$7:$F$15</c:f>
              <c:numCache>
                <c:formatCode>General</c:formatCode>
                <c:ptCount val="9"/>
                <c:pt idx="0">
                  <c:v>0</c:v>
                </c:pt>
                <c:pt idx="1">
                  <c:v>196</c:v>
                </c:pt>
                <c:pt idx="2">
                  <c:v>392</c:v>
                </c:pt>
                <c:pt idx="3">
                  <c:v>784</c:v>
                </c:pt>
                <c:pt idx="4">
                  <c:v>940.8</c:v>
                </c:pt>
                <c:pt idx="5">
                  <c:v>1176.0000000000002</c:v>
                </c:pt>
                <c:pt idx="6">
                  <c:v>1372</c:v>
                </c:pt>
                <c:pt idx="7">
                  <c:v>1391.6</c:v>
                </c:pt>
                <c:pt idx="8">
                  <c:v>1293.6000000000001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1-4A30-AB52-DCC30D15FD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29617680"/>
        <c:axId val="1329902160"/>
      </c:scatterChart>
      <c:valAx>
        <c:axId val="132961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Deformación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9902160"/>
        <c:crosses val="autoZero"/>
        <c:crossBetween val="midCat"/>
      </c:valAx>
      <c:valAx>
        <c:axId val="13299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Tensión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961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49" name="shapetype_202" hidden="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51" name="shapetype_202" hidden="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52" name="shapetype_202" hidden="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53" name="shapetype_202" hidden="1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15</xdr:col>
      <xdr:colOff>19050</xdr:colOff>
      <xdr:row>32</xdr:row>
      <xdr:rowOff>0</xdr:rowOff>
    </xdr:to>
    <xdr:sp macro="" textlink="">
      <xdr:nvSpPr>
        <xdr:cNvPr id="1054" name="shapetype_202" hidden="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285750"/>
          <a:ext cx="11249025" cy="5905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323850</xdr:colOff>
      <xdr:row>45</xdr:row>
      <xdr:rowOff>0</xdr:rowOff>
    </xdr:to>
    <xdr:sp macro="" textlink="">
      <xdr:nvSpPr>
        <xdr:cNvPr id="3080" name="shapetype_202" hidden="1"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870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323850</xdr:colOff>
      <xdr:row>45</xdr:row>
      <xdr:rowOff>0</xdr:rowOff>
    </xdr:to>
    <xdr:sp macro="" textlink="">
      <xdr:nvSpPr>
        <xdr:cNvPr id="3081" name="shapetype_202" hidden="1"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870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323850</xdr:colOff>
      <xdr:row>45</xdr:row>
      <xdr:rowOff>0</xdr:rowOff>
    </xdr:to>
    <xdr:sp macro="" textlink="">
      <xdr:nvSpPr>
        <xdr:cNvPr id="3082" name="shapetype_202" hidden="1"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870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323850</xdr:colOff>
      <xdr:row>45</xdr:row>
      <xdr:rowOff>0</xdr:rowOff>
    </xdr:to>
    <xdr:sp macro="" textlink="">
      <xdr:nvSpPr>
        <xdr:cNvPr id="3083" name="shapetype_202" hidden="1"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8705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67540</xdr:colOff>
      <xdr:row>15</xdr:row>
      <xdr:rowOff>180975</xdr:rowOff>
    </xdr:from>
    <xdr:ext cx="5911199" cy="800295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67540" y="3171825"/>
          <a:ext cx="590168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Representa en una gráfica los valores de Tensión en el eje Y frente a los de deformación en el eje X. </a:t>
          </a:r>
          <a:endParaRPr lang="es-ES" sz="1100" baseline="0"/>
        </a:p>
        <a:p>
          <a:r>
            <a:rPr lang="es-ES" sz="1100" baseline="0"/>
            <a:t>Pon nombre a los ejes.</a:t>
          </a:r>
        </a:p>
        <a:p>
          <a:r>
            <a:rPr lang="es-ES" sz="1100" baseline="0"/>
            <a:t>Debería quedarte algo similar a esto (con otros valores)</a:t>
          </a:r>
        </a:p>
        <a:p>
          <a:endParaRPr lang="es-ES" sz="1100"/>
        </a:p>
      </xdr:txBody>
    </xdr:sp>
    <xdr:clientData/>
  </xdr:oneCellAnchor>
  <xdr:twoCellAnchor editAs="oneCell">
    <xdr:from>
      <xdr:col>0</xdr:col>
      <xdr:colOff>0</xdr:colOff>
      <xdr:row>20</xdr:row>
      <xdr:rowOff>76200</xdr:rowOff>
    </xdr:from>
    <xdr:to>
      <xdr:col>4</xdr:col>
      <xdr:colOff>142875</xdr:colOff>
      <xdr:row>31</xdr:row>
      <xdr:rowOff>66675</xdr:rowOff>
    </xdr:to>
    <xdr:pic>
      <xdr:nvPicPr>
        <xdr:cNvPr id="3085" name="6 Imagen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9550"/>
          <a:ext cx="356235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495300</xdr:colOff>
      <xdr:row>5</xdr:row>
      <xdr:rowOff>104775</xdr:rowOff>
    </xdr:from>
    <xdr:to>
      <xdr:col>11</xdr:col>
      <xdr:colOff>647700</xdr:colOff>
      <xdr:row>7</xdr:row>
      <xdr:rowOff>152400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5600700" y="1047750"/>
          <a:ext cx="42481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defRPr sz="1000"/>
          </a:pPr>
          <a:r>
            <a:rPr lang="es-E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Hay que usar siempre que se pueda referencias a otras celdas</a:t>
          </a:r>
        </a:p>
      </xdr:txBody>
    </xdr:sp>
    <xdr:clientData/>
  </xdr:twoCellAnchor>
  <xdr:twoCellAnchor>
    <xdr:from>
      <xdr:col>4</xdr:col>
      <xdr:colOff>352424</xdr:colOff>
      <xdr:row>17</xdr:row>
      <xdr:rowOff>149834</xdr:rowOff>
    </xdr:from>
    <xdr:to>
      <xdr:col>11</xdr:col>
      <xdr:colOff>790575</xdr:colOff>
      <xdr:row>38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7A31D5-C503-49DD-83D9-28BCF2D65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561975</xdr:colOff>
      <xdr:row>51</xdr:row>
      <xdr:rowOff>0</xdr:rowOff>
    </xdr:to>
    <xdr:sp macro="" textlink="">
      <xdr:nvSpPr>
        <xdr:cNvPr id="5122" name="shapetype_202" hidden="1">
          <a:extLst>
            <a:ext uri="{FF2B5EF4-FFF2-40B4-BE49-F238E27FC236}">
              <a16:creationId xmlns:a16="http://schemas.microsoft.com/office/drawing/2014/main" id="{00000000-0008-0000-0300-000002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123265</xdr:colOff>
      <xdr:row>12</xdr:row>
      <xdr:rowOff>56028</xdr:rowOff>
    </xdr:from>
    <xdr:to>
      <xdr:col>15</xdr:col>
      <xdr:colOff>123265</xdr:colOff>
      <xdr:row>25</xdr:row>
      <xdr:rowOff>156881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8628530" y="1389528"/>
          <a:ext cx="3888441" cy="2005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- Hay que crea un filtro para que muestre únicamente los alumnos que se han presentado al examen</a:t>
          </a:r>
        </a:p>
        <a:p>
          <a:endParaRPr lang="es-ES" sz="1100"/>
        </a:p>
        <a:p>
          <a:r>
            <a:rPr lang="es-ES" sz="1100"/>
            <a:t>-</a:t>
          </a:r>
          <a:r>
            <a:rPr lang="es-ES" sz="1100" baseline="0"/>
            <a:t> Hay que poner un formato condicional para que muestre con fondo de color verde los alumnos que han aprobado y en rojo los suspendidos en "Nota de curso"</a:t>
          </a:r>
        </a:p>
        <a:p>
          <a:endParaRPr lang="es-ES" sz="1100" baseline="0"/>
        </a:p>
        <a:p>
          <a:r>
            <a:rPr lang="es-ES" sz="1100" baseline="0"/>
            <a:t>- Hay que inmovilizar la primera fila y la primera columna</a:t>
          </a:r>
        </a:p>
        <a:p>
          <a:endParaRPr lang="es-ES" sz="1100" baseline="0"/>
        </a:p>
        <a:p>
          <a:r>
            <a:rPr lang="es-ES" sz="1100" baseline="0"/>
            <a:t>- Recuerda que las notas finales deben estar entre 0 y 10</a:t>
          </a:r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V20"/>
  <sheetViews>
    <sheetView tabSelected="1" zoomScale="115" zoomScaleNormal="115" workbookViewId="0">
      <pane ySplit="12" topLeftCell="A13" activePane="bottomLeft" state="frozen"/>
      <selection pane="bottomLeft" activeCell="E19" sqref="E19"/>
    </sheetView>
  </sheetViews>
  <sheetFormatPr defaultColWidth="9.140625" defaultRowHeight="15" x14ac:dyDescent="0.25"/>
  <cols>
    <col min="1" max="1" width="15.7109375" style="1" customWidth="1"/>
    <col min="2" max="2" width="14.5703125" style="1" customWidth="1"/>
    <col min="3" max="3" width="9.140625" style="1"/>
    <col min="4" max="4" width="15" style="1" customWidth="1"/>
    <col min="5" max="5" width="11.85546875" style="1" customWidth="1"/>
    <col min="6" max="6" width="12" style="1" customWidth="1"/>
    <col min="7" max="7" width="12.7109375" style="1" customWidth="1"/>
    <col min="8" max="8" width="14.42578125" style="1" customWidth="1"/>
    <col min="9" max="9" width="9.140625" style="1"/>
    <col min="10" max="10" width="21.28515625" style="1" customWidth="1"/>
    <col min="11" max="16384" width="9.140625" style="1"/>
  </cols>
  <sheetData>
    <row r="1" spans="1:256" s="24" customFormat="1" ht="22.5" x14ac:dyDescent="0.45">
      <c r="A1" s="23" t="s">
        <v>114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</row>
    <row r="2" spans="1:256" x14ac:dyDescent="0.25">
      <c r="A2" s="2" t="s">
        <v>17</v>
      </c>
      <c r="B2" s="2" t="s">
        <v>18</v>
      </c>
      <c r="D2" s="32" t="s">
        <v>19</v>
      </c>
      <c r="E2" s="32"/>
      <c r="F2" s="18" t="s">
        <v>113</v>
      </c>
      <c r="G2" s="19"/>
      <c r="H2" s="20"/>
    </row>
    <row r="3" spans="1:256" x14ac:dyDescent="0.25">
      <c r="A3" s="3" t="s">
        <v>9</v>
      </c>
      <c r="B3" s="4">
        <v>200</v>
      </c>
      <c r="D3" s="3" t="s">
        <v>4</v>
      </c>
      <c r="E3" s="5">
        <v>0.05</v>
      </c>
      <c r="F3" s="21">
        <v>100</v>
      </c>
    </row>
    <row r="4" spans="1:256" x14ac:dyDescent="0.25">
      <c r="A4" s="3" t="s">
        <v>11</v>
      </c>
      <c r="B4" s="4">
        <v>150</v>
      </c>
      <c r="D4" s="3" t="s">
        <v>5</v>
      </c>
      <c r="E4" s="5">
        <v>0.21</v>
      </c>
    </row>
    <row r="5" spans="1:256" x14ac:dyDescent="0.25">
      <c r="A5" s="3" t="s">
        <v>12</v>
      </c>
      <c r="B5" s="4">
        <v>500</v>
      </c>
    </row>
    <row r="6" spans="1:256" x14ac:dyDescent="0.25">
      <c r="A6" s="3" t="s">
        <v>13</v>
      </c>
      <c r="B6" s="4">
        <v>800</v>
      </c>
    </row>
    <row r="7" spans="1:256" x14ac:dyDescent="0.25">
      <c r="A7" s="3" t="s">
        <v>14</v>
      </c>
      <c r="B7" s="4">
        <v>1900</v>
      </c>
      <c r="J7" s="28" t="s">
        <v>118</v>
      </c>
    </row>
    <row r="8" spans="1:256" x14ac:dyDescent="0.25">
      <c r="A8" s="3" t="s">
        <v>15</v>
      </c>
      <c r="B8" s="4">
        <v>600</v>
      </c>
      <c r="J8" s="28" t="s">
        <v>119</v>
      </c>
    </row>
    <row r="9" spans="1:256" x14ac:dyDescent="0.25">
      <c r="A9" s="3" t="s">
        <v>16</v>
      </c>
      <c r="B9" s="4">
        <v>150</v>
      </c>
    </row>
    <row r="11" spans="1:256" x14ac:dyDescent="0.25">
      <c r="A11"/>
      <c r="B11"/>
      <c r="D11"/>
      <c r="E11"/>
    </row>
    <row r="12" spans="1:256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</row>
    <row r="13" spans="1:256" x14ac:dyDescent="0.25">
      <c r="A13" s="3" t="s">
        <v>8</v>
      </c>
      <c r="B13" s="3" t="s">
        <v>9</v>
      </c>
      <c r="C13" s="3">
        <v>55</v>
      </c>
      <c r="D13" s="33">
        <f>VLOOKUP(B13,A3:B9,2,FALSE)*C13</f>
        <v>11000</v>
      </c>
      <c r="E13" s="22">
        <f>IF(C13&gt;=$F$3,D13*$E$3,0)</f>
        <v>0</v>
      </c>
      <c r="F13" s="22">
        <f>D13*$E$4</f>
        <v>2310</v>
      </c>
      <c r="G13" s="22">
        <f>D13+F13</f>
        <v>13310</v>
      </c>
      <c r="H13" s="22">
        <f>G13-E13</f>
        <v>13310</v>
      </c>
    </row>
    <row r="14" spans="1:256" x14ac:dyDescent="0.25">
      <c r="A14" s="21" t="s">
        <v>10</v>
      </c>
      <c r="B14" s="3" t="s">
        <v>11</v>
      </c>
      <c r="C14" s="3">
        <v>115</v>
      </c>
      <c r="D14" s="33">
        <f>VLOOKUP(B14,A4:B10,2,FALSE)*C14</f>
        <v>17250</v>
      </c>
      <c r="E14" s="22">
        <f t="shared" ref="E14:E19" si="0">IF(C14&gt;=$F$3,D14*$E$3,0)</f>
        <v>862.5</v>
      </c>
      <c r="F14" s="22">
        <f t="shared" ref="F14:F19" si="1">D14*$E$4</f>
        <v>3622.5</v>
      </c>
      <c r="G14" s="22">
        <f t="shared" ref="G14:G19" si="2">D14+F14</f>
        <v>20872.5</v>
      </c>
      <c r="H14" s="22">
        <f t="shared" ref="H14:H18" si="3">G14-E14</f>
        <v>20010</v>
      </c>
    </row>
    <row r="15" spans="1:256" x14ac:dyDescent="0.25">
      <c r="A15" s="21" t="s">
        <v>20</v>
      </c>
      <c r="B15" s="3" t="s">
        <v>12</v>
      </c>
      <c r="C15" s="3">
        <v>300</v>
      </c>
      <c r="D15" s="33">
        <f t="shared" ref="D14:D19" si="4">VLOOKUP(B15,A5:B11,2,FALSE)*C15</f>
        <v>150000</v>
      </c>
      <c r="E15" s="22">
        <f t="shared" si="0"/>
        <v>7500</v>
      </c>
      <c r="F15" s="22">
        <f t="shared" si="1"/>
        <v>31500</v>
      </c>
      <c r="G15" s="22">
        <f t="shared" si="2"/>
        <v>181500</v>
      </c>
      <c r="H15" s="22">
        <f t="shared" si="3"/>
        <v>174000</v>
      </c>
    </row>
    <row r="16" spans="1:256" x14ac:dyDescent="0.25">
      <c r="A16" s="21" t="s">
        <v>21</v>
      </c>
      <c r="B16" s="3" t="s">
        <v>13</v>
      </c>
      <c r="C16" s="3">
        <v>55</v>
      </c>
      <c r="D16" s="33">
        <f t="shared" si="4"/>
        <v>44000</v>
      </c>
      <c r="E16" s="22">
        <f t="shared" si="0"/>
        <v>0</v>
      </c>
      <c r="F16" s="22">
        <f t="shared" si="1"/>
        <v>9240</v>
      </c>
      <c r="G16" s="22">
        <f t="shared" si="2"/>
        <v>53240</v>
      </c>
      <c r="H16" s="22">
        <f t="shared" si="3"/>
        <v>53240</v>
      </c>
    </row>
    <row r="17" spans="1:8" x14ac:dyDescent="0.25">
      <c r="A17" s="21" t="s">
        <v>22</v>
      </c>
      <c r="B17" s="3" t="s">
        <v>14</v>
      </c>
      <c r="C17" s="3">
        <v>50</v>
      </c>
      <c r="D17" s="33">
        <f t="shared" si="4"/>
        <v>95000</v>
      </c>
      <c r="E17" s="22">
        <f t="shared" si="0"/>
        <v>0</v>
      </c>
      <c r="F17" s="22">
        <f t="shared" si="1"/>
        <v>19950</v>
      </c>
      <c r="G17" s="22">
        <f t="shared" si="2"/>
        <v>114950</v>
      </c>
      <c r="H17" s="22">
        <f t="shared" si="3"/>
        <v>114950</v>
      </c>
    </row>
    <row r="18" spans="1:8" x14ac:dyDescent="0.25">
      <c r="A18" s="21" t="s">
        <v>23</v>
      </c>
      <c r="B18" s="3" t="s">
        <v>15</v>
      </c>
      <c r="C18" s="3">
        <v>150</v>
      </c>
      <c r="D18" s="33">
        <f t="shared" si="4"/>
        <v>90000</v>
      </c>
      <c r="E18" s="22">
        <f t="shared" si="0"/>
        <v>4500</v>
      </c>
      <c r="F18" s="22">
        <f t="shared" si="1"/>
        <v>18900</v>
      </c>
      <c r="G18" s="22">
        <f t="shared" si="2"/>
        <v>108900</v>
      </c>
      <c r="H18" s="22">
        <f t="shared" si="3"/>
        <v>104400</v>
      </c>
    </row>
    <row r="19" spans="1:8" x14ac:dyDescent="0.25">
      <c r="A19" s="21" t="s">
        <v>24</v>
      </c>
      <c r="B19" s="3" t="s">
        <v>16</v>
      </c>
      <c r="C19" s="3">
        <v>80</v>
      </c>
      <c r="D19" s="33">
        <f t="shared" si="4"/>
        <v>12000</v>
      </c>
      <c r="E19" s="22">
        <f t="shared" si="0"/>
        <v>0</v>
      </c>
      <c r="F19" s="22">
        <f t="shared" si="1"/>
        <v>2520</v>
      </c>
      <c r="G19" s="22">
        <f t="shared" si="2"/>
        <v>14520</v>
      </c>
      <c r="H19" s="22">
        <f>G19-E19</f>
        <v>14520</v>
      </c>
    </row>
    <row r="20" spans="1:8" x14ac:dyDescent="0.25">
      <c r="A20"/>
      <c r="B20"/>
      <c r="D20"/>
      <c r="E20"/>
      <c r="G20" s="3" t="s">
        <v>7</v>
      </c>
      <c r="H20" s="22">
        <f>SUM(H13:H19)</f>
        <v>494430</v>
      </c>
    </row>
  </sheetData>
  <mergeCells count="1">
    <mergeCell ref="D2:E2"/>
  </mergeCells>
  <pageMargins left="0.7" right="0.7" top="0.75" bottom="0.75" header="0.51180555555555496" footer="0.51180555555555496"/>
  <pageSetup paperSize="9" firstPageNumber="0" orientation="portrait" horizontalDpi="4294967292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J15"/>
  <sheetViews>
    <sheetView zoomScaleNormal="100" workbookViewId="0">
      <selection activeCell="J11" sqref="J11"/>
    </sheetView>
  </sheetViews>
  <sheetFormatPr defaultColWidth="10.5703125" defaultRowHeight="15" x14ac:dyDescent="0.25"/>
  <sheetData>
    <row r="1" spans="1:10" ht="22.5" x14ac:dyDescent="0.45">
      <c r="A1" s="23" t="s">
        <v>115</v>
      </c>
    </row>
    <row r="2" spans="1:10" x14ac:dyDescent="0.25">
      <c r="A2" s="27" t="s">
        <v>25</v>
      </c>
      <c r="B2" s="26">
        <v>1</v>
      </c>
      <c r="C2" s="26">
        <v>2</v>
      </c>
      <c r="D2" s="26">
        <v>3</v>
      </c>
      <c r="E2" s="26">
        <v>4</v>
      </c>
      <c r="F2" s="26">
        <v>5</v>
      </c>
      <c r="G2" s="26">
        <v>6</v>
      </c>
      <c r="H2" s="26">
        <v>7</v>
      </c>
      <c r="I2" s="26">
        <v>8</v>
      </c>
      <c r="J2" s="26">
        <v>9</v>
      </c>
    </row>
    <row r="3" spans="1:10" x14ac:dyDescent="0.25">
      <c r="A3" s="26">
        <v>1</v>
      </c>
      <c r="B3" s="25">
        <f>B$2*$A3</f>
        <v>1</v>
      </c>
      <c r="C3" s="25">
        <f t="shared" ref="C3:J11" si="0">C$2*$A3</f>
        <v>2</v>
      </c>
      <c r="D3" s="25">
        <f t="shared" si="0"/>
        <v>3</v>
      </c>
      <c r="E3" s="25">
        <f t="shared" si="0"/>
        <v>4</v>
      </c>
      <c r="F3" s="25">
        <f t="shared" si="0"/>
        <v>5</v>
      </c>
      <c r="G3" s="25">
        <f t="shared" si="0"/>
        <v>6</v>
      </c>
      <c r="H3" s="25">
        <f t="shared" si="0"/>
        <v>7</v>
      </c>
      <c r="I3" s="25">
        <f t="shared" si="0"/>
        <v>8</v>
      </c>
      <c r="J3" s="25">
        <f t="shared" si="0"/>
        <v>9</v>
      </c>
    </row>
    <row r="4" spans="1:10" x14ac:dyDescent="0.25">
      <c r="A4" s="26">
        <v>2</v>
      </c>
      <c r="B4" s="25">
        <f t="shared" ref="B4:B11" si="1">B$2*$A4</f>
        <v>2</v>
      </c>
      <c r="C4" s="25">
        <f t="shared" si="0"/>
        <v>4</v>
      </c>
      <c r="D4" s="25">
        <f t="shared" si="0"/>
        <v>6</v>
      </c>
      <c r="E4" s="25">
        <f t="shared" si="0"/>
        <v>8</v>
      </c>
      <c r="F4" s="25">
        <f t="shared" si="0"/>
        <v>10</v>
      </c>
      <c r="G4" s="25">
        <f t="shared" si="0"/>
        <v>12</v>
      </c>
      <c r="H4" s="25">
        <f t="shared" si="0"/>
        <v>14</v>
      </c>
      <c r="I4" s="25">
        <f t="shared" si="0"/>
        <v>16</v>
      </c>
      <c r="J4" s="25">
        <f t="shared" si="0"/>
        <v>18</v>
      </c>
    </row>
    <row r="5" spans="1:10" x14ac:dyDescent="0.25">
      <c r="A5" s="26">
        <v>3</v>
      </c>
      <c r="B5" s="25">
        <f t="shared" si="1"/>
        <v>3</v>
      </c>
      <c r="C5" s="25">
        <f t="shared" si="0"/>
        <v>6</v>
      </c>
      <c r="D5" s="25">
        <f t="shared" si="0"/>
        <v>9</v>
      </c>
      <c r="E5" s="25">
        <f t="shared" si="0"/>
        <v>12</v>
      </c>
      <c r="F5" s="25">
        <f t="shared" si="0"/>
        <v>15</v>
      </c>
      <c r="G5" s="25">
        <f t="shared" si="0"/>
        <v>18</v>
      </c>
      <c r="H5" s="25">
        <f t="shared" si="0"/>
        <v>21</v>
      </c>
      <c r="I5" s="25">
        <f t="shared" si="0"/>
        <v>24</v>
      </c>
      <c r="J5" s="25">
        <f t="shared" si="0"/>
        <v>27</v>
      </c>
    </row>
    <row r="6" spans="1:10" x14ac:dyDescent="0.25">
      <c r="A6" s="26">
        <v>4</v>
      </c>
      <c r="B6" s="25">
        <f t="shared" si="1"/>
        <v>4</v>
      </c>
      <c r="C6" s="25">
        <f t="shared" si="0"/>
        <v>8</v>
      </c>
      <c r="D6" s="25">
        <f t="shared" si="0"/>
        <v>12</v>
      </c>
      <c r="E6" s="25">
        <f t="shared" si="0"/>
        <v>16</v>
      </c>
      <c r="F6" s="25">
        <f t="shared" si="0"/>
        <v>20</v>
      </c>
      <c r="G6" s="25">
        <f t="shared" si="0"/>
        <v>24</v>
      </c>
      <c r="H6" s="25">
        <f t="shared" si="0"/>
        <v>28</v>
      </c>
      <c r="I6" s="25">
        <f t="shared" si="0"/>
        <v>32</v>
      </c>
      <c r="J6" s="25">
        <f t="shared" si="0"/>
        <v>36</v>
      </c>
    </row>
    <row r="7" spans="1:10" x14ac:dyDescent="0.25">
      <c r="A7" s="26">
        <v>5</v>
      </c>
      <c r="B7" s="25">
        <f t="shared" si="1"/>
        <v>5</v>
      </c>
      <c r="C7" s="25">
        <f t="shared" si="0"/>
        <v>10</v>
      </c>
      <c r="D7" s="25">
        <f t="shared" si="0"/>
        <v>15</v>
      </c>
      <c r="E7" s="25">
        <f t="shared" si="0"/>
        <v>20</v>
      </c>
      <c r="F7" s="25">
        <f t="shared" si="0"/>
        <v>25</v>
      </c>
      <c r="G7" s="25">
        <f t="shared" si="0"/>
        <v>30</v>
      </c>
      <c r="H7" s="25">
        <f t="shared" si="0"/>
        <v>35</v>
      </c>
      <c r="I7" s="25">
        <f t="shared" si="0"/>
        <v>40</v>
      </c>
      <c r="J7" s="25">
        <f t="shared" si="0"/>
        <v>45</v>
      </c>
    </row>
    <row r="8" spans="1:10" x14ac:dyDescent="0.25">
      <c r="A8" s="26">
        <v>6</v>
      </c>
      <c r="B8" s="25">
        <f t="shared" si="1"/>
        <v>6</v>
      </c>
      <c r="C8" s="25">
        <f t="shared" si="0"/>
        <v>12</v>
      </c>
      <c r="D8" s="25">
        <f t="shared" si="0"/>
        <v>18</v>
      </c>
      <c r="E8" s="25">
        <f t="shared" si="0"/>
        <v>24</v>
      </c>
      <c r="F8" s="25">
        <f t="shared" si="0"/>
        <v>30</v>
      </c>
      <c r="G8" s="25">
        <f t="shared" si="0"/>
        <v>36</v>
      </c>
      <c r="H8" s="25">
        <f t="shared" si="0"/>
        <v>42</v>
      </c>
      <c r="I8" s="25">
        <f t="shared" si="0"/>
        <v>48</v>
      </c>
      <c r="J8" s="25">
        <f t="shared" si="0"/>
        <v>54</v>
      </c>
    </row>
    <row r="9" spans="1:10" x14ac:dyDescent="0.25">
      <c r="A9" s="26">
        <v>7</v>
      </c>
      <c r="B9" s="25">
        <f t="shared" si="1"/>
        <v>7</v>
      </c>
      <c r="C9" s="25">
        <f t="shared" si="0"/>
        <v>14</v>
      </c>
      <c r="D9" s="25">
        <f t="shared" si="0"/>
        <v>21</v>
      </c>
      <c r="E9" s="25">
        <f t="shared" si="0"/>
        <v>28</v>
      </c>
      <c r="F9" s="25">
        <f t="shared" si="0"/>
        <v>35</v>
      </c>
      <c r="G9" s="25">
        <f t="shared" si="0"/>
        <v>42</v>
      </c>
      <c r="H9" s="25">
        <f t="shared" si="0"/>
        <v>49</v>
      </c>
      <c r="I9" s="25">
        <f t="shared" si="0"/>
        <v>56</v>
      </c>
      <c r="J9" s="25">
        <f t="shared" si="0"/>
        <v>63</v>
      </c>
    </row>
    <row r="10" spans="1:10" x14ac:dyDescent="0.25">
      <c r="A10" s="26">
        <v>8</v>
      </c>
      <c r="B10" s="25">
        <f t="shared" si="1"/>
        <v>8</v>
      </c>
      <c r="C10" s="25">
        <f t="shared" si="0"/>
        <v>16</v>
      </c>
      <c r="D10" s="25">
        <f t="shared" si="0"/>
        <v>24</v>
      </c>
      <c r="E10" s="25">
        <f t="shared" si="0"/>
        <v>32</v>
      </c>
      <c r="F10" s="25">
        <f t="shared" si="0"/>
        <v>40</v>
      </c>
      <c r="G10" s="25">
        <f t="shared" si="0"/>
        <v>48</v>
      </c>
      <c r="H10" s="25">
        <f t="shared" si="0"/>
        <v>56</v>
      </c>
      <c r="I10" s="25">
        <f t="shared" si="0"/>
        <v>64</v>
      </c>
      <c r="J10" s="25">
        <f t="shared" si="0"/>
        <v>72</v>
      </c>
    </row>
    <row r="11" spans="1:10" x14ac:dyDescent="0.25">
      <c r="A11" s="26">
        <v>9</v>
      </c>
      <c r="B11" s="25">
        <f t="shared" si="1"/>
        <v>9</v>
      </c>
      <c r="C11" s="25">
        <f t="shared" si="0"/>
        <v>18</v>
      </c>
      <c r="D11" s="25">
        <f t="shared" si="0"/>
        <v>27</v>
      </c>
      <c r="E11" s="25">
        <f t="shared" si="0"/>
        <v>36</v>
      </c>
      <c r="F11" s="25">
        <f t="shared" si="0"/>
        <v>45</v>
      </c>
      <c r="G11" s="25">
        <f t="shared" si="0"/>
        <v>54</v>
      </c>
      <c r="H11" s="25">
        <f t="shared" si="0"/>
        <v>63</v>
      </c>
      <c r="I11" s="25">
        <f t="shared" si="0"/>
        <v>72</v>
      </c>
      <c r="J11" s="25">
        <f t="shared" si="0"/>
        <v>81</v>
      </c>
    </row>
    <row r="13" spans="1:10" x14ac:dyDescent="0.25">
      <c r="B13" t="s">
        <v>26</v>
      </c>
    </row>
    <row r="14" spans="1:10" x14ac:dyDescent="0.25">
      <c r="B14" t="s">
        <v>116</v>
      </c>
    </row>
    <row r="15" spans="1:10" x14ac:dyDescent="0.25">
      <c r="B15" t="s">
        <v>117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K45"/>
  <sheetViews>
    <sheetView zoomScaleNormal="100" workbookViewId="0">
      <selection activeCell="A11" sqref="A11"/>
    </sheetView>
  </sheetViews>
  <sheetFormatPr defaultColWidth="12.28515625" defaultRowHeight="12.75" x14ac:dyDescent="0.2"/>
  <cols>
    <col min="1" max="1" width="14" style="6" customWidth="1"/>
    <col min="2" max="2" width="12.28515625" style="6"/>
    <col min="3" max="3" width="13.28515625" style="6" customWidth="1"/>
    <col min="4" max="4" width="11.7109375" style="6" customWidth="1"/>
    <col min="5" max="5" width="13.140625" style="6" customWidth="1"/>
    <col min="6" max="6" width="12.140625" style="6" customWidth="1"/>
    <col min="7" max="16384" width="12.28515625" style="6"/>
  </cols>
  <sheetData>
    <row r="1" spans="1:11" ht="15" x14ac:dyDescent="0.25">
      <c r="A1"/>
      <c r="B1"/>
      <c r="C1"/>
      <c r="D1"/>
      <c r="E1"/>
      <c r="F1"/>
      <c r="G1"/>
      <c r="H1" s="6" t="s">
        <v>27</v>
      </c>
      <c r="J1"/>
      <c r="K1"/>
    </row>
    <row r="2" spans="1:11" ht="15.75" x14ac:dyDescent="0.3">
      <c r="A2" s="6" t="s">
        <v>28</v>
      </c>
      <c r="B2"/>
      <c r="C2" s="7" t="s">
        <v>29</v>
      </c>
      <c r="D2"/>
      <c r="E2" s="8" t="s">
        <v>30</v>
      </c>
      <c r="F2" s="9">
        <v>1000</v>
      </c>
      <c r="G2" s="6" t="s">
        <v>31</v>
      </c>
      <c r="H2" s="6" t="s">
        <v>32</v>
      </c>
      <c r="J2" s="9">
        <v>500</v>
      </c>
      <c r="K2" s="6" t="s">
        <v>31</v>
      </c>
    </row>
    <row r="3" spans="1:11" ht="14.1" customHeight="1" x14ac:dyDescent="0.3">
      <c r="A3" s="6" t="s">
        <v>33</v>
      </c>
      <c r="B3"/>
      <c r="C3" s="10" t="s">
        <v>34</v>
      </c>
      <c r="D3"/>
      <c r="E3" s="8" t="s">
        <v>35</v>
      </c>
      <c r="F3" s="9">
        <v>9.8000000000000007</v>
      </c>
      <c r="G3" s="6" t="s">
        <v>36</v>
      </c>
      <c r="H3" s="6" t="s">
        <v>37</v>
      </c>
      <c r="J3" s="9">
        <v>5</v>
      </c>
      <c r="K3" s="6" t="s">
        <v>31</v>
      </c>
    </row>
    <row r="4" spans="1:11" ht="15" x14ac:dyDescent="0.25">
      <c r="A4"/>
      <c r="B4"/>
      <c r="C4" s="10"/>
      <c r="D4"/>
      <c r="E4" s="8"/>
      <c r="F4" s="9"/>
      <c r="G4"/>
      <c r="H4" s="6" t="s">
        <v>38</v>
      </c>
      <c r="J4" s="9">
        <f>$J$3*$J$3</f>
        <v>25</v>
      </c>
      <c r="K4" s="6" t="s">
        <v>39</v>
      </c>
    </row>
    <row r="5" spans="1:11" ht="15" x14ac:dyDescent="0.25">
      <c r="A5"/>
      <c r="B5"/>
      <c r="C5"/>
      <c r="D5"/>
      <c r="E5"/>
      <c r="F5"/>
      <c r="G5"/>
      <c r="H5"/>
      <c r="J5"/>
      <c r="K5"/>
    </row>
    <row r="6" spans="1:11" ht="26.25" x14ac:dyDescent="0.25">
      <c r="A6" s="30" t="s">
        <v>40</v>
      </c>
      <c r="B6" s="31" t="s">
        <v>41</v>
      </c>
      <c r="C6" s="30" t="s">
        <v>42</v>
      </c>
      <c r="D6" s="31" t="s">
        <v>43</v>
      </c>
      <c r="E6" s="30" t="s">
        <v>44</v>
      </c>
      <c r="F6" s="31" t="s">
        <v>45</v>
      </c>
      <c r="G6"/>
      <c r="H6"/>
      <c r="J6"/>
      <c r="K6"/>
    </row>
    <row r="7" spans="1:11" ht="15" x14ac:dyDescent="0.25">
      <c r="A7" s="11">
        <v>0</v>
      </c>
      <c r="B7" s="11">
        <v>0</v>
      </c>
      <c r="C7" s="11">
        <f>A7*$F$3</f>
        <v>0</v>
      </c>
      <c r="D7" s="11">
        <f>B7*$F$2</f>
        <v>0</v>
      </c>
      <c r="E7" s="11">
        <f>D7/$J$2</f>
        <v>0</v>
      </c>
      <c r="F7" s="11">
        <f>C7/$J$4</f>
        <v>0</v>
      </c>
      <c r="G7"/>
      <c r="H7"/>
      <c r="J7"/>
      <c r="K7"/>
    </row>
    <row r="8" spans="1:11" ht="15" x14ac:dyDescent="0.25">
      <c r="A8" s="12">
        <v>500</v>
      </c>
      <c r="B8" s="12">
        <v>2.9999999999999997E-4</v>
      </c>
      <c r="C8" s="11">
        <f t="shared" ref="C8:C15" si="0">A8*$F$3</f>
        <v>4900</v>
      </c>
      <c r="D8" s="11">
        <f t="shared" ref="D8:D15" si="1">B8*$F$2</f>
        <v>0.3</v>
      </c>
      <c r="E8" s="11">
        <f t="shared" ref="E8:E15" si="2">D8/$J$2</f>
        <v>5.9999999999999995E-4</v>
      </c>
      <c r="F8" s="11">
        <f t="shared" ref="F8:F15" si="3">C8/$J$4</f>
        <v>196</v>
      </c>
      <c r="G8"/>
      <c r="H8"/>
      <c r="J8"/>
      <c r="K8"/>
    </row>
    <row r="9" spans="1:11" ht="15" x14ac:dyDescent="0.25">
      <c r="A9" s="12">
        <v>1000</v>
      </c>
      <c r="B9" s="12">
        <v>5.9999999999999995E-4</v>
      </c>
      <c r="C9" s="11">
        <f t="shared" si="0"/>
        <v>9800</v>
      </c>
      <c r="D9" s="11">
        <f t="shared" si="1"/>
        <v>0.6</v>
      </c>
      <c r="E9" s="11">
        <f t="shared" si="2"/>
        <v>1.1999999999999999E-3</v>
      </c>
      <c r="F9" s="11">
        <f t="shared" si="3"/>
        <v>392</v>
      </c>
      <c r="G9"/>
      <c r="H9"/>
      <c r="J9"/>
      <c r="K9" s="13"/>
    </row>
    <row r="10" spans="1:11" ht="15" x14ac:dyDescent="0.25">
      <c r="A10" s="12">
        <v>2000</v>
      </c>
      <c r="B10" s="12">
        <v>1.1999999999999999E-3</v>
      </c>
      <c r="C10" s="11">
        <f t="shared" si="0"/>
        <v>19600</v>
      </c>
      <c r="D10" s="11">
        <f t="shared" si="1"/>
        <v>1.2</v>
      </c>
      <c r="E10" s="11">
        <f t="shared" si="2"/>
        <v>2.3999999999999998E-3</v>
      </c>
      <c r="F10" s="11">
        <f t="shared" si="3"/>
        <v>784</v>
      </c>
      <c r="G10"/>
      <c r="H10"/>
      <c r="J10"/>
    </row>
    <row r="11" spans="1:11" ht="15" x14ac:dyDescent="0.25">
      <c r="A11" s="12">
        <v>2400</v>
      </c>
      <c r="B11" s="12">
        <v>1.6999999999999999E-3</v>
      </c>
      <c r="C11" s="11">
        <f t="shared" si="0"/>
        <v>23520</v>
      </c>
      <c r="D11" s="11">
        <f t="shared" si="1"/>
        <v>1.7</v>
      </c>
      <c r="E11" s="11">
        <f t="shared" si="2"/>
        <v>3.3999999999999998E-3</v>
      </c>
      <c r="F11" s="11">
        <f t="shared" si="3"/>
        <v>940.8</v>
      </c>
      <c r="G11"/>
      <c r="H11" s="13"/>
      <c r="J11"/>
    </row>
    <row r="12" spans="1:11" ht="15" x14ac:dyDescent="0.25">
      <c r="A12" s="12">
        <v>3000</v>
      </c>
      <c r="B12" s="12">
        <v>4.3E-3</v>
      </c>
      <c r="C12" s="11">
        <f t="shared" si="0"/>
        <v>29400.000000000004</v>
      </c>
      <c r="D12" s="11">
        <f t="shared" si="1"/>
        <v>4.3</v>
      </c>
      <c r="E12" s="11">
        <f t="shared" si="2"/>
        <v>8.6E-3</v>
      </c>
      <c r="F12" s="11">
        <f t="shared" si="3"/>
        <v>1176.0000000000002</v>
      </c>
      <c r="G12"/>
      <c r="J12"/>
    </row>
    <row r="13" spans="1:11" ht="15" x14ac:dyDescent="0.25">
      <c r="A13" s="12">
        <v>3500</v>
      </c>
      <c r="B13" s="12">
        <v>1.2E-2</v>
      </c>
      <c r="C13" s="11">
        <f t="shared" si="0"/>
        <v>34300</v>
      </c>
      <c r="D13" s="11">
        <f t="shared" si="1"/>
        <v>12</v>
      </c>
      <c r="E13" s="11">
        <f t="shared" si="2"/>
        <v>2.4E-2</v>
      </c>
      <c r="F13" s="11">
        <f t="shared" si="3"/>
        <v>1372</v>
      </c>
      <c r="G13"/>
      <c r="J13"/>
    </row>
    <row r="14" spans="1:11" ht="15" x14ac:dyDescent="0.25">
      <c r="A14" s="12">
        <v>3550</v>
      </c>
      <c r="B14" s="12">
        <v>1.55E-2</v>
      </c>
      <c r="C14" s="11">
        <f t="shared" si="0"/>
        <v>34790</v>
      </c>
      <c r="D14" s="11">
        <f t="shared" si="1"/>
        <v>15.5</v>
      </c>
      <c r="E14" s="11">
        <f t="shared" si="2"/>
        <v>3.1E-2</v>
      </c>
      <c r="F14" s="11">
        <f t="shared" si="3"/>
        <v>1391.6</v>
      </c>
      <c r="G14"/>
      <c r="J14"/>
    </row>
    <row r="15" spans="1:11" ht="15" x14ac:dyDescent="0.25">
      <c r="A15" s="12">
        <v>3300</v>
      </c>
      <c r="B15" s="12">
        <v>1.9E-2</v>
      </c>
      <c r="C15" s="11">
        <f t="shared" si="0"/>
        <v>32340.000000000004</v>
      </c>
      <c r="D15" s="11">
        <f t="shared" si="1"/>
        <v>19</v>
      </c>
      <c r="E15" s="11">
        <f t="shared" si="2"/>
        <v>3.7999999999999999E-2</v>
      </c>
      <c r="F15" s="11">
        <f t="shared" si="3"/>
        <v>1293.6000000000001</v>
      </c>
      <c r="G15"/>
      <c r="J15"/>
    </row>
    <row r="16" spans="1:11" ht="15" x14ac:dyDescent="0.25">
      <c r="A16"/>
      <c r="B16"/>
      <c r="C16"/>
      <c r="D16"/>
      <c r="E16"/>
      <c r="F16"/>
      <c r="G16"/>
      <c r="J16" s="1"/>
    </row>
    <row r="17" spans="1:10" ht="15" x14ac:dyDescent="0.25">
      <c r="A17"/>
      <c r="B17"/>
      <c r="C17"/>
      <c r="D17"/>
      <c r="E17"/>
      <c r="F17"/>
      <c r="G17"/>
      <c r="J17" s="1"/>
    </row>
    <row r="18" spans="1:10" ht="15" x14ac:dyDescent="0.25">
      <c r="B18"/>
      <c r="C18"/>
      <c r="D18"/>
      <c r="E18"/>
      <c r="F18"/>
      <c r="G18"/>
    </row>
    <row r="19" spans="1:10" ht="15" x14ac:dyDescent="0.25">
      <c r="A19"/>
      <c r="B19"/>
      <c r="C19"/>
      <c r="D19"/>
      <c r="E19"/>
      <c r="F19"/>
      <c r="G19"/>
    </row>
    <row r="20" spans="1:10" ht="15" x14ac:dyDescent="0.25">
      <c r="A20"/>
      <c r="B20"/>
      <c r="C20"/>
      <c r="D20"/>
      <c r="E20"/>
      <c r="F20"/>
      <c r="G20"/>
    </row>
    <row r="21" spans="1:10" ht="15" x14ac:dyDescent="0.25">
      <c r="A21"/>
      <c r="B21"/>
      <c r="C21"/>
      <c r="D21"/>
      <c r="E21"/>
      <c r="F21"/>
      <c r="G21"/>
    </row>
    <row r="22" spans="1:10" ht="15" x14ac:dyDescent="0.25">
      <c r="A22"/>
      <c r="B22"/>
      <c r="C22"/>
      <c r="D22"/>
      <c r="E22"/>
      <c r="F22"/>
      <c r="G22"/>
    </row>
    <row r="23" spans="1:10" ht="15" x14ac:dyDescent="0.25">
      <c r="A23"/>
      <c r="B23"/>
      <c r="C23"/>
      <c r="D23"/>
      <c r="E23"/>
      <c r="F23"/>
      <c r="G23"/>
    </row>
    <row r="24" spans="1:10" ht="15" x14ac:dyDescent="0.25">
      <c r="A24"/>
      <c r="B24"/>
      <c r="C24"/>
      <c r="D24"/>
      <c r="E24"/>
      <c r="F24"/>
      <c r="G24"/>
    </row>
    <row r="25" spans="1:10" ht="15" x14ac:dyDescent="0.25">
      <c r="A25"/>
      <c r="B25"/>
      <c r="C25"/>
      <c r="D25"/>
      <c r="E25"/>
      <c r="F25"/>
      <c r="G25"/>
    </row>
    <row r="26" spans="1:10" ht="15" x14ac:dyDescent="0.25">
      <c r="A26"/>
      <c r="B26"/>
      <c r="C26"/>
      <c r="D26"/>
      <c r="E26"/>
      <c r="F26"/>
      <c r="G26"/>
    </row>
    <row r="27" spans="1:10" ht="15" x14ac:dyDescent="0.25">
      <c r="A27"/>
      <c r="B27"/>
      <c r="C27"/>
      <c r="D27"/>
      <c r="E27"/>
      <c r="F27"/>
      <c r="G27"/>
    </row>
    <row r="28" spans="1:10" ht="15" x14ac:dyDescent="0.25">
      <c r="A28"/>
      <c r="B28"/>
      <c r="C28"/>
      <c r="D28"/>
      <c r="E28"/>
      <c r="F28"/>
      <c r="G28"/>
    </row>
    <row r="29" spans="1:10" ht="15" x14ac:dyDescent="0.25">
      <c r="A29"/>
      <c r="B29"/>
      <c r="C29"/>
      <c r="D29"/>
      <c r="E29"/>
      <c r="F29"/>
      <c r="G29"/>
    </row>
    <row r="30" spans="1:10" ht="15" x14ac:dyDescent="0.25">
      <c r="A30"/>
      <c r="B30"/>
      <c r="C30"/>
      <c r="D30"/>
      <c r="E30"/>
      <c r="F30"/>
      <c r="G30"/>
    </row>
    <row r="31" spans="1:10" ht="15" x14ac:dyDescent="0.25">
      <c r="A31"/>
      <c r="B31"/>
      <c r="C31"/>
      <c r="D31"/>
      <c r="E31"/>
      <c r="F31"/>
      <c r="G31"/>
    </row>
    <row r="32" spans="1:10" ht="15" x14ac:dyDescent="0.25">
      <c r="A32"/>
      <c r="B32"/>
      <c r="C32"/>
      <c r="D32"/>
      <c r="E32"/>
      <c r="F32"/>
      <c r="G32"/>
    </row>
    <row r="33" spans="1:7" ht="15" x14ac:dyDescent="0.25">
      <c r="A33"/>
      <c r="B33"/>
      <c r="C33"/>
      <c r="D33"/>
      <c r="E33"/>
      <c r="F33"/>
      <c r="G33"/>
    </row>
    <row r="34" spans="1:7" ht="15" x14ac:dyDescent="0.25">
      <c r="A34"/>
      <c r="B34"/>
      <c r="C34"/>
      <c r="D34"/>
      <c r="E34"/>
      <c r="F34"/>
      <c r="G34"/>
    </row>
    <row r="35" spans="1:7" ht="15" x14ac:dyDescent="0.25">
      <c r="A35"/>
      <c r="B35"/>
      <c r="C35"/>
      <c r="D35"/>
      <c r="E35"/>
      <c r="F35"/>
      <c r="G35"/>
    </row>
    <row r="36" spans="1:7" ht="15" x14ac:dyDescent="0.25">
      <c r="A36"/>
      <c r="B36"/>
      <c r="C36"/>
      <c r="D36"/>
      <c r="E36"/>
      <c r="F36"/>
      <c r="G36"/>
    </row>
    <row r="37" spans="1:7" ht="15" x14ac:dyDescent="0.25">
      <c r="A37"/>
      <c r="B37"/>
      <c r="C37"/>
      <c r="D37"/>
      <c r="E37"/>
      <c r="F37"/>
      <c r="G37"/>
    </row>
    <row r="38" spans="1:7" ht="15" x14ac:dyDescent="0.25">
      <c r="A38"/>
      <c r="B38"/>
      <c r="C38"/>
      <c r="D38"/>
      <c r="E38"/>
      <c r="F38"/>
      <c r="G38"/>
    </row>
    <row r="39" spans="1:7" ht="15" x14ac:dyDescent="0.25">
      <c r="A39"/>
      <c r="B39"/>
      <c r="C39"/>
      <c r="D39"/>
      <c r="E39"/>
      <c r="F39"/>
      <c r="G39"/>
    </row>
    <row r="40" spans="1:7" ht="15" x14ac:dyDescent="0.25">
      <c r="A40"/>
      <c r="B40"/>
      <c r="C40"/>
      <c r="D40"/>
      <c r="E40"/>
      <c r="F40"/>
      <c r="G40"/>
    </row>
    <row r="41" spans="1:7" ht="15" x14ac:dyDescent="0.25">
      <c r="A41"/>
      <c r="B41"/>
      <c r="C41"/>
      <c r="D41"/>
      <c r="E41"/>
      <c r="F41"/>
      <c r="G41"/>
    </row>
    <row r="42" spans="1:7" ht="15" x14ac:dyDescent="0.25">
      <c r="A42"/>
      <c r="B42"/>
      <c r="C42"/>
      <c r="D42"/>
      <c r="E42"/>
      <c r="F42"/>
      <c r="G42"/>
    </row>
    <row r="43" spans="1:7" ht="15" x14ac:dyDescent="0.25">
      <c r="A43"/>
      <c r="B43"/>
      <c r="C43"/>
      <c r="D43"/>
      <c r="E43"/>
      <c r="F43"/>
      <c r="G43"/>
    </row>
    <row r="44" spans="1:7" ht="15" x14ac:dyDescent="0.25">
      <c r="A44"/>
      <c r="B44"/>
      <c r="C44"/>
      <c r="D44"/>
      <c r="E44"/>
      <c r="F44"/>
      <c r="G44"/>
    </row>
    <row r="45" spans="1:7" ht="15" x14ac:dyDescent="0.25">
      <c r="A45"/>
      <c r="B45"/>
      <c r="C45"/>
      <c r="D45"/>
      <c r="E45"/>
      <c r="F45"/>
      <c r="G45"/>
    </row>
  </sheetData>
  <pageMargins left="0.59027777777777801" right="0.390277777777778" top="1" bottom="1" header="0.51180555555555496" footer="0.51180555555555496"/>
  <pageSetup paperSize="9" firstPageNumber="0" orientation="portrait" horizontalDpi="4294967292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 filterMode="1"/>
  <dimension ref="A1:Q59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defaultColWidth="11.42578125" defaultRowHeight="12.75" x14ac:dyDescent="0.2"/>
  <cols>
    <col min="1" max="1" width="13.85546875" style="14" customWidth="1"/>
    <col min="2" max="2" width="11" style="14" customWidth="1"/>
    <col min="3" max="4" width="9.140625" style="14" customWidth="1"/>
    <col min="5" max="5" width="12.28515625" style="14" customWidth="1"/>
    <col min="6" max="7" width="15.5703125" style="14" customWidth="1"/>
    <col min="8" max="8" width="14.5703125" style="14" customWidth="1"/>
    <col min="9" max="9" width="17.28515625" style="14" customWidth="1"/>
    <col min="10" max="10" width="9.28515625" style="14" customWidth="1"/>
    <col min="11" max="11" width="10.7109375" style="14" customWidth="1"/>
    <col min="12" max="12" width="12.140625" style="14" customWidth="1"/>
    <col min="13" max="13" width="9" style="14" customWidth="1"/>
    <col min="14" max="14" width="9.7109375" style="14" customWidth="1"/>
    <col min="15" max="15" width="16.7109375" style="14" customWidth="1"/>
    <col min="16" max="16" width="9.85546875" style="14" customWidth="1"/>
    <col min="17" max="17" width="9" style="14" customWidth="1"/>
    <col min="18" max="16384" width="11.42578125" style="14"/>
  </cols>
  <sheetData>
    <row r="1" spans="1:17" ht="15" customHeight="1" x14ac:dyDescent="0.2">
      <c r="A1" s="15" t="s">
        <v>46</v>
      </c>
      <c r="B1" s="15" t="s">
        <v>47</v>
      </c>
      <c r="C1" s="15" t="s">
        <v>48</v>
      </c>
      <c r="D1" s="15" t="s">
        <v>49</v>
      </c>
      <c r="E1" s="15" t="s">
        <v>50</v>
      </c>
      <c r="F1" s="15" t="s">
        <v>51</v>
      </c>
      <c r="G1" s="15" t="s">
        <v>52</v>
      </c>
      <c r="H1" s="15" t="s">
        <v>53</v>
      </c>
      <c r="I1" s="15" t="s">
        <v>54</v>
      </c>
      <c r="J1" s="15"/>
      <c r="K1" s="15"/>
      <c r="L1" s="15"/>
      <c r="M1" s="15"/>
      <c r="N1" s="15"/>
      <c r="O1" s="15"/>
      <c r="P1" s="15"/>
      <c r="Q1" s="15"/>
    </row>
    <row r="2" spans="1:17" ht="15" hidden="1" customHeight="1" x14ac:dyDescent="0.25">
      <c r="A2" s="16" t="s">
        <v>55</v>
      </c>
      <c r="B2" s="35">
        <v>8</v>
      </c>
      <c r="C2" s="35"/>
      <c r="D2" s="35"/>
      <c r="E2" s="35"/>
      <c r="F2" s="35"/>
      <c r="G2" s="35"/>
      <c r="H2" s="35"/>
      <c r="I2" s="36">
        <f>(AVERAGE(--B2,--C2)*'Porcentaje notas'!$B$1)+(AVERAGE(--D2,--E2)*'Porcentaje notas'!$B$2)+(AVERAGE(--F2,--G2)*'Porcentaje notas'!$B$3)+(--H2*'Porcentaje notas'!$B$4)</f>
        <v>0.4</v>
      </c>
      <c r="J2" s="17"/>
      <c r="K2"/>
      <c r="L2" s="17"/>
      <c r="M2" s="17"/>
      <c r="N2" s="17"/>
      <c r="O2" s="17"/>
      <c r="P2" s="17"/>
      <c r="Q2" s="17"/>
    </row>
    <row r="3" spans="1:17" ht="15" customHeight="1" x14ac:dyDescent="0.2">
      <c r="A3" s="16" t="s">
        <v>56</v>
      </c>
      <c r="B3" s="35"/>
      <c r="C3" s="35">
        <v>8</v>
      </c>
      <c r="D3" s="35"/>
      <c r="E3" s="35"/>
      <c r="F3" s="35">
        <v>2</v>
      </c>
      <c r="G3" s="35">
        <v>2</v>
      </c>
      <c r="H3" s="35">
        <v>5</v>
      </c>
      <c r="I3" s="36">
        <f>(AVERAGE(--B3,--C3)*'Porcentaje notas'!$B$1)+(AVERAGE(--D3,--E3)*'Porcentaje notas'!$B$2)+(AVERAGE(--F3,--G3)*'Porcentaje notas'!$B$3)+(--H3*'Porcentaje notas'!$B$4)</f>
        <v>3.8</v>
      </c>
      <c r="J3" s="17"/>
      <c r="L3" s="17"/>
      <c r="M3" s="17"/>
      <c r="N3" s="17"/>
      <c r="O3" s="17"/>
      <c r="P3" s="17"/>
      <c r="Q3" s="17"/>
    </row>
    <row r="4" spans="1:17" ht="15" customHeight="1" x14ac:dyDescent="0.2">
      <c r="A4" s="16" t="s">
        <v>57</v>
      </c>
      <c r="B4" s="35">
        <v>5</v>
      </c>
      <c r="C4" s="35">
        <v>6</v>
      </c>
      <c r="D4" s="35">
        <v>0.8</v>
      </c>
      <c r="E4" s="35">
        <v>3</v>
      </c>
      <c r="F4" s="35"/>
      <c r="G4" s="35">
        <v>0.5</v>
      </c>
      <c r="H4" s="35">
        <v>5</v>
      </c>
      <c r="I4" s="36">
        <f>(AVERAGE(--B4,--C4)*'Porcentaje notas'!$B$1)+(AVERAGE(--D4,--E4)*'Porcentaje notas'!$B$2)+(AVERAGE(--F4,--G4)*'Porcentaje notas'!$B$3)+(--H4*'Porcentaje notas'!$B$4)</f>
        <v>3.79</v>
      </c>
      <c r="J4" s="17"/>
      <c r="L4" s="17"/>
      <c r="M4" s="17"/>
      <c r="N4" s="17"/>
      <c r="O4" s="17"/>
      <c r="P4" s="17"/>
      <c r="Q4" s="17"/>
    </row>
    <row r="5" spans="1:17" ht="15" hidden="1" customHeight="1" x14ac:dyDescent="0.2">
      <c r="A5" s="16" t="s">
        <v>58</v>
      </c>
      <c r="B5" s="35">
        <v>5</v>
      </c>
      <c r="C5" s="35"/>
      <c r="D5" s="35">
        <v>6.5</v>
      </c>
      <c r="E5" s="35"/>
      <c r="F5" s="35"/>
      <c r="G5" s="35"/>
      <c r="H5" s="35"/>
      <c r="I5" s="36">
        <f>(AVERAGE(--B5,--C5)*'Porcentaje notas'!$B$1)+(AVERAGE(--D5,--E5)*'Porcentaje notas'!$B$2)+(AVERAGE(--F5,--G5)*'Porcentaje notas'!$B$3)+(--H5*'Porcentaje notas'!$B$4)</f>
        <v>0.57499999999999996</v>
      </c>
      <c r="J5" s="17"/>
      <c r="L5" s="17"/>
      <c r="M5" s="17"/>
      <c r="N5" s="17"/>
      <c r="O5" s="17"/>
      <c r="P5" s="17"/>
      <c r="Q5" s="17"/>
    </row>
    <row r="6" spans="1:17" ht="15" hidden="1" customHeight="1" x14ac:dyDescent="0.2">
      <c r="A6" s="16" t="s">
        <v>59</v>
      </c>
      <c r="B6" s="35">
        <v>5</v>
      </c>
      <c r="C6" s="35">
        <v>6</v>
      </c>
      <c r="D6" s="35"/>
      <c r="E6" s="35"/>
      <c r="F6" s="35">
        <v>8</v>
      </c>
      <c r="G6" s="35"/>
      <c r="H6" s="35"/>
      <c r="I6" s="36">
        <f>(AVERAGE(--B6,--C6)*'Porcentaje notas'!$B$1)+(AVERAGE(--D6,--E6)*'Porcentaje notas'!$B$2)+(AVERAGE(--F6,--G6)*'Porcentaje notas'!$B$3)+(--H6*'Porcentaje notas'!$B$4)</f>
        <v>1.35</v>
      </c>
      <c r="J6" s="17"/>
      <c r="L6" s="17"/>
      <c r="M6" s="17"/>
      <c r="N6" s="17"/>
      <c r="O6" s="17"/>
      <c r="P6" s="17"/>
      <c r="Q6" s="17"/>
    </row>
    <row r="7" spans="1:17" ht="15" customHeight="1" x14ac:dyDescent="0.2">
      <c r="A7" s="16" t="s">
        <v>60</v>
      </c>
      <c r="B7" s="35">
        <v>8</v>
      </c>
      <c r="C7" s="35">
        <v>4</v>
      </c>
      <c r="D7" s="35">
        <v>8</v>
      </c>
      <c r="E7" s="35">
        <v>8</v>
      </c>
      <c r="F7" s="35">
        <v>8</v>
      </c>
      <c r="G7" s="35">
        <v>7</v>
      </c>
      <c r="H7" s="35">
        <v>9</v>
      </c>
      <c r="I7" s="36">
        <f>(AVERAGE(--B7,--C7)*'Porcentaje notas'!$B$1)+(AVERAGE(--D7,--E7)*'Porcentaje notas'!$B$2)+(AVERAGE(--F7,--G7)*'Porcentaje notas'!$B$3)+(--H7*'Porcentaje notas'!$B$4)</f>
        <v>8.3000000000000007</v>
      </c>
      <c r="J7" s="17"/>
      <c r="L7" s="17"/>
      <c r="M7" s="17"/>
      <c r="N7" s="17"/>
      <c r="O7" s="17"/>
      <c r="P7" s="17"/>
      <c r="Q7" s="17"/>
    </row>
    <row r="8" spans="1:17" ht="15" hidden="1" customHeight="1" x14ac:dyDescent="0.2">
      <c r="A8" s="16" t="s">
        <v>61</v>
      </c>
      <c r="B8" s="35">
        <v>5.5</v>
      </c>
      <c r="C8" s="35">
        <v>6.5</v>
      </c>
      <c r="D8" s="35">
        <v>3.25</v>
      </c>
      <c r="E8" s="35">
        <v>9</v>
      </c>
      <c r="F8" s="35"/>
      <c r="G8" s="35"/>
      <c r="H8" s="35"/>
      <c r="I8" s="36">
        <f>(AVERAGE(--B8,--C8)*'Porcentaje notas'!$B$1)+(AVERAGE(--D8,--E8)*'Porcentaje notas'!$B$2)+(AVERAGE(--F8,--G8)*'Porcentaje notas'!$B$3)+(--H8*'Porcentaje notas'!$B$4)</f>
        <v>1.2125000000000001</v>
      </c>
      <c r="J8" s="17"/>
      <c r="L8" s="17"/>
      <c r="M8" s="17"/>
      <c r="N8" s="17"/>
      <c r="O8" s="17"/>
      <c r="P8" s="17"/>
      <c r="Q8" s="17"/>
    </row>
    <row r="9" spans="1:17" ht="15" customHeight="1" x14ac:dyDescent="0.2">
      <c r="A9" s="16" t="s">
        <v>62</v>
      </c>
      <c r="B9" s="35">
        <v>6.5</v>
      </c>
      <c r="C9" s="35">
        <v>7</v>
      </c>
      <c r="D9" s="35"/>
      <c r="E9" s="35"/>
      <c r="F9" s="35">
        <v>5</v>
      </c>
      <c r="G9" s="35">
        <v>0.5</v>
      </c>
      <c r="H9" s="35">
        <v>5.6</v>
      </c>
      <c r="I9" s="36">
        <f>(AVERAGE(--B9,--C9)*'Porcentaje notas'!$B$1)+(AVERAGE(--D9,--E9)*'Porcentaje notas'!$B$2)+(AVERAGE(--F9,--G9)*'Porcentaje notas'!$B$3)+(--H9*'Porcentaje notas'!$B$4)</f>
        <v>4.585</v>
      </c>
      <c r="J9" s="17"/>
      <c r="K9" s="17"/>
      <c r="L9" s="17"/>
      <c r="M9" s="17"/>
      <c r="N9" s="17"/>
      <c r="O9" s="17"/>
      <c r="P9" s="17"/>
      <c r="Q9" s="17"/>
    </row>
    <row r="10" spans="1:17" ht="15" customHeight="1" x14ac:dyDescent="0.2">
      <c r="A10" s="16" t="s">
        <v>63</v>
      </c>
      <c r="B10" s="35">
        <v>0</v>
      </c>
      <c r="C10" s="35">
        <v>1</v>
      </c>
      <c r="D10" s="35">
        <v>9</v>
      </c>
      <c r="E10" s="35">
        <v>2</v>
      </c>
      <c r="F10" s="35"/>
      <c r="G10" s="35">
        <v>0.6</v>
      </c>
      <c r="H10" s="35">
        <v>5</v>
      </c>
      <c r="I10" s="36">
        <f>(AVERAGE(--B10,--C10)*'Porcentaje notas'!$B$1)+(AVERAGE(--D10,--E10)*'Porcentaje notas'!$B$2)+(AVERAGE(--F10,--G10)*'Porcentaje notas'!$B$3)+(--H10*'Porcentaje notas'!$B$4)</f>
        <v>3.66</v>
      </c>
      <c r="J10" s="17"/>
      <c r="K10" s="6"/>
      <c r="L10" s="17"/>
      <c r="M10" s="17"/>
      <c r="N10" s="17"/>
      <c r="O10" s="17"/>
      <c r="P10" s="17"/>
      <c r="Q10" s="17"/>
    </row>
    <row r="11" spans="1:17" ht="15" customHeight="1" x14ac:dyDescent="0.2">
      <c r="A11" s="16" t="s">
        <v>64</v>
      </c>
      <c r="B11" s="35">
        <v>10</v>
      </c>
      <c r="C11" s="35">
        <v>10</v>
      </c>
      <c r="D11" s="35">
        <v>10</v>
      </c>
      <c r="E11" s="35">
        <v>10</v>
      </c>
      <c r="F11" s="35">
        <v>10</v>
      </c>
      <c r="G11" s="35">
        <v>10</v>
      </c>
      <c r="H11" s="35">
        <v>10</v>
      </c>
      <c r="I11" s="36">
        <f>(AVERAGE(--B11,--C11)*'Porcentaje notas'!$B$1)+(AVERAGE(--D11,--E11)*'Porcentaje notas'!$B$2)+(AVERAGE(--F11,--G11)*'Porcentaje notas'!$B$3)+(--H11*'Porcentaje notas'!$B$4)</f>
        <v>10</v>
      </c>
      <c r="J11" s="17"/>
      <c r="K11" s="17"/>
      <c r="L11" s="17"/>
      <c r="M11" s="17"/>
      <c r="N11" s="17"/>
      <c r="O11" s="17"/>
      <c r="P11" s="17"/>
      <c r="Q11" s="17"/>
    </row>
    <row r="12" spans="1:17" ht="15" hidden="1" customHeight="1" x14ac:dyDescent="0.2">
      <c r="A12" s="16" t="s">
        <v>65</v>
      </c>
      <c r="B12" s="35">
        <v>0</v>
      </c>
      <c r="C12" s="35">
        <v>1</v>
      </c>
      <c r="D12" s="35"/>
      <c r="E12" s="35"/>
      <c r="F12" s="35"/>
      <c r="G12" s="35"/>
      <c r="H12" s="35"/>
      <c r="I12" s="36">
        <f>(AVERAGE(--B12,--C12)*'Porcentaje notas'!$B$1)+(AVERAGE(--D12,--E12)*'Porcentaje notas'!$B$2)+(AVERAGE(--F12,--G12)*'Porcentaje notas'!$B$3)+(--H12*'Porcentaje notas'!$B$4)</f>
        <v>0.05</v>
      </c>
      <c r="J12" s="17"/>
      <c r="K12" s="29"/>
      <c r="L12" s="17"/>
      <c r="M12" s="17"/>
      <c r="N12" s="17"/>
      <c r="O12" s="17"/>
      <c r="P12" s="17"/>
      <c r="Q12" s="17"/>
    </row>
    <row r="13" spans="1:17" ht="15" customHeight="1" x14ac:dyDescent="0.2">
      <c r="A13" s="16" t="s">
        <v>66</v>
      </c>
      <c r="B13" s="35">
        <v>3.3</v>
      </c>
      <c r="C13" s="35">
        <v>4</v>
      </c>
      <c r="D13" s="35"/>
      <c r="E13" s="35">
        <v>2.6</v>
      </c>
      <c r="F13" s="35"/>
      <c r="G13" s="35">
        <v>1.3</v>
      </c>
      <c r="H13" s="35">
        <v>5</v>
      </c>
      <c r="I13" s="36">
        <f>(AVERAGE(--B13,--C13)*'Porcentaje notas'!$B$1)+(AVERAGE(--D13,--E13)*'Porcentaje notas'!$B$2)+(AVERAGE(--F13,--G13)*'Porcentaje notas'!$B$3)+(--H13*'Porcentaje notas'!$B$4)</f>
        <v>3.625</v>
      </c>
      <c r="J13" s="17"/>
      <c r="L13" s="17"/>
      <c r="M13" s="17"/>
      <c r="N13" s="17"/>
      <c r="O13" s="17"/>
      <c r="P13" s="17"/>
      <c r="Q13" s="17"/>
    </row>
    <row r="14" spans="1:17" ht="15" customHeight="1" x14ac:dyDescent="0.2">
      <c r="A14" s="16" t="s">
        <v>67</v>
      </c>
      <c r="B14" s="35">
        <v>3.3</v>
      </c>
      <c r="C14" s="35">
        <v>4.3</v>
      </c>
      <c r="D14" s="35"/>
      <c r="E14" s="35"/>
      <c r="F14" s="35">
        <v>7</v>
      </c>
      <c r="G14" s="35"/>
      <c r="H14" s="35">
        <v>9</v>
      </c>
      <c r="I14" s="36">
        <f>(AVERAGE(--B14,--C14)*'Porcentaje notas'!$B$1)+(AVERAGE(--D14,--E14)*'Porcentaje notas'!$B$2)+(AVERAGE(--F14,--G14)*'Porcentaje notas'!$B$3)+(--H14*'Porcentaje notas'!$B$4)</f>
        <v>6.4799999999999995</v>
      </c>
      <c r="J14" s="17"/>
      <c r="K14" s="6"/>
      <c r="L14" s="17"/>
      <c r="M14" s="17"/>
      <c r="N14" s="17"/>
      <c r="O14" s="17"/>
      <c r="P14" s="17"/>
      <c r="Q14" s="17"/>
    </row>
    <row r="15" spans="1:17" ht="15" customHeight="1" x14ac:dyDescent="0.2">
      <c r="A15" s="16" t="s">
        <v>68</v>
      </c>
      <c r="B15" s="35">
        <v>8.8000000000000007</v>
      </c>
      <c r="C15" s="35">
        <v>9</v>
      </c>
      <c r="D15" s="35">
        <v>5</v>
      </c>
      <c r="E15" s="35">
        <v>8</v>
      </c>
      <c r="F15" s="35"/>
      <c r="G15" s="35">
        <v>0.8</v>
      </c>
      <c r="H15" s="35">
        <v>9</v>
      </c>
      <c r="I15" s="36">
        <f>(AVERAGE(--B15,--C15)*'Porcentaje notas'!$B$1)+(AVERAGE(--D15,--E15)*'Porcentaje notas'!$B$2)+(AVERAGE(--F15,--G15)*'Porcentaje notas'!$B$3)+(--H15*'Porcentaje notas'!$B$4)</f>
        <v>7.02</v>
      </c>
      <c r="J15" s="17"/>
      <c r="K15" s="17"/>
      <c r="L15" s="17"/>
      <c r="M15" s="17"/>
      <c r="N15" s="17"/>
      <c r="O15" s="17"/>
      <c r="P15" s="17"/>
      <c r="Q15" s="17"/>
    </row>
    <row r="16" spans="1:17" ht="15" customHeight="1" x14ac:dyDescent="0.2">
      <c r="A16" s="16" t="s">
        <v>69</v>
      </c>
      <c r="B16" s="35">
        <v>8.8000000000000007</v>
      </c>
      <c r="C16" s="35">
        <v>9</v>
      </c>
      <c r="D16" s="35">
        <v>2.6</v>
      </c>
      <c r="E16" s="35"/>
      <c r="F16" s="35"/>
      <c r="G16" s="35"/>
      <c r="H16" s="35">
        <v>5</v>
      </c>
      <c r="I16" s="36">
        <f>(AVERAGE(--B16,--C16)*'Porcentaje notas'!$B$1)+(AVERAGE(--D16,--E16)*'Porcentaje notas'!$B$2)+(AVERAGE(--F16,--G16)*'Porcentaje notas'!$B$3)+(--H16*'Porcentaje notas'!$B$4)</f>
        <v>4.0199999999999996</v>
      </c>
      <c r="J16" s="17"/>
      <c r="K16" s="29"/>
      <c r="L16" s="17"/>
      <c r="M16" s="17"/>
      <c r="N16" s="17"/>
      <c r="O16" s="17"/>
      <c r="P16" s="17"/>
      <c r="Q16" s="17"/>
    </row>
    <row r="17" spans="1:17" ht="15" customHeight="1" x14ac:dyDescent="0.2">
      <c r="A17" s="16" t="s">
        <v>70</v>
      </c>
      <c r="B17" s="35">
        <v>6.5</v>
      </c>
      <c r="C17" s="35">
        <v>7</v>
      </c>
      <c r="D17" s="35"/>
      <c r="E17" s="35">
        <v>8</v>
      </c>
      <c r="F17" s="35"/>
      <c r="G17" s="35">
        <v>2.2999999999999998</v>
      </c>
      <c r="H17" s="35">
        <v>2.8</v>
      </c>
      <c r="I17" s="36">
        <f>(AVERAGE(--B17,--C17)*'Porcentaje notas'!$B$1)+(AVERAGE(--D17,--E17)*'Porcentaje notas'!$B$2)+(AVERAGE(--F17,--G17)*'Porcentaje notas'!$B$3)+(--H17*'Porcentaje notas'!$B$4)</f>
        <v>2.9850000000000003</v>
      </c>
      <c r="J17" s="17"/>
      <c r="K17" s="17"/>
      <c r="L17" s="17"/>
      <c r="M17" s="17"/>
      <c r="N17" s="17"/>
      <c r="O17" s="17"/>
      <c r="P17" s="17"/>
      <c r="Q17" s="17"/>
    </row>
    <row r="18" spans="1:17" ht="15" customHeight="1" x14ac:dyDescent="0.2">
      <c r="A18" s="16" t="s">
        <v>71</v>
      </c>
      <c r="B18" s="35">
        <v>4.3</v>
      </c>
      <c r="C18" s="35">
        <v>5.3</v>
      </c>
      <c r="D18" s="35">
        <v>8</v>
      </c>
      <c r="E18" s="35"/>
      <c r="F18" s="35">
        <v>8</v>
      </c>
      <c r="G18" s="35"/>
      <c r="H18" s="35">
        <v>9</v>
      </c>
      <c r="I18" s="36">
        <f>(AVERAGE(--B18,--C18)*'Porcentaje notas'!$B$1)+(AVERAGE(--D18,--E18)*'Porcentaje notas'!$B$2)+(AVERAGE(--F18,--G18)*'Porcentaje notas'!$B$3)+(--H18*'Porcentaje notas'!$B$4)</f>
        <v>7.08</v>
      </c>
      <c r="J18" s="17"/>
      <c r="K18" s="17"/>
      <c r="L18" s="17"/>
      <c r="M18" s="17"/>
      <c r="N18" s="17"/>
      <c r="O18" s="17"/>
      <c r="P18" s="17"/>
      <c r="Q18" s="17"/>
    </row>
    <row r="19" spans="1:17" ht="15" customHeight="1" x14ac:dyDescent="0.2">
      <c r="A19" s="16" t="s">
        <v>72</v>
      </c>
      <c r="B19" s="35">
        <v>6.8</v>
      </c>
      <c r="C19" s="35">
        <v>7</v>
      </c>
      <c r="D19" s="35">
        <v>0.5</v>
      </c>
      <c r="E19" s="35">
        <v>0</v>
      </c>
      <c r="F19" s="35"/>
      <c r="G19" s="35"/>
      <c r="H19" s="35">
        <v>6.5</v>
      </c>
      <c r="I19" s="36">
        <f>(AVERAGE(--B19,--C19)*'Porcentaje notas'!$B$1)+(AVERAGE(--D19,--E19)*'Porcentaje notas'!$B$2)+(AVERAGE(--F19,--G19)*'Porcentaje notas'!$B$3)+(--H19*'Porcentaje notas'!$B$4)</f>
        <v>4.6150000000000002</v>
      </c>
      <c r="J19" s="17"/>
      <c r="K19" s="17"/>
      <c r="L19" s="17"/>
      <c r="M19" s="17"/>
      <c r="N19" s="17"/>
      <c r="O19" s="17"/>
      <c r="P19" s="17"/>
      <c r="Q19" s="17"/>
    </row>
    <row r="20" spans="1:17" ht="15" hidden="1" customHeight="1" x14ac:dyDescent="0.2">
      <c r="A20" s="16" t="s">
        <v>73</v>
      </c>
      <c r="B20" s="35">
        <v>6.8</v>
      </c>
      <c r="C20" s="35">
        <v>7</v>
      </c>
      <c r="D20" s="35"/>
      <c r="E20" s="35">
        <v>8</v>
      </c>
      <c r="F20" s="35">
        <v>2</v>
      </c>
      <c r="G20" s="35">
        <v>8</v>
      </c>
      <c r="H20" s="35"/>
      <c r="I20" s="36">
        <f>(AVERAGE(--B20,--C20)*'Porcentaje notas'!$B$1)+(AVERAGE(--D20,--E20)*'Porcentaje notas'!$B$2)+(AVERAGE(--F20,--G20)*'Porcentaje notas'!$B$3)+(--H20*'Porcentaje notas'!$B$4)</f>
        <v>2.09</v>
      </c>
      <c r="J20" s="17"/>
      <c r="K20" s="17"/>
      <c r="L20" s="17"/>
      <c r="M20" s="17"/>
      <c r="N20" s="17"/>
      <c r="O20" s="17"/>
      <c r="P20" s="17"/>
      <c r="Q20" s="17"/>
    </row>
    <row r="21" spans="1:17" ht="15" hidden="1" customHeight="1" x14ac:dyDescent="0.2">
      <c r="A21" s="16" t="s">
        <v>74</v>
      </c>
      <c r="B21" s="35">
        <v>6.8</v>
      </c>
      <c r="C21" s="35">
        <v>8</v>
      </c>
      <c r="D21" s="35">
        <v>8</v>
      </c>
      <c r="E21" s="35">
        <v>3</v>
      </c>
      <c r="F21" s="35">
        <v>2</v>
      </c>
      <c r="G21" s="35">
        <v>0</v>
      </c>
      <c r="H21" s="35"/>
      <c r="I21" s="36">
        <f>(AVERAGE(--B21,--C21)*'Porcentaje notas'!$B$1)+(AVERAGE(--D21,--E21)*'Porcentaje notas'!$B$2)+(AVERAGE(--F21,--G21)*'Porcentaje notas'!$B$3)+(--H21*'Porcentaje notas'!$B$4)</f>
        <v>1.49</v>
      </c>
      <c r="J21" s="17"/>
      <c r="M21" s="17"/>
      <c r="N21" s="17"/>
      <c r="O21" s="17"/>
      <c r="P21" s="17"/>
      <c r="Q21" s="17"/>
    </row>
    <row r="22" spans="1:17" ht="15" hidden="1" customHeight="1" x14ac:dyDescent="0.2">
      <c r="A22" s="16" t="s">
        <v>75</v>
      </c>
      <c r="B22" s="35">
        <v>6.5</v>
      </c>
      <c r="C22" s="35">
        <v>7.5</v>
      </c>
      <c r="D22" s="35"/>
      <c r="E22" s="35"/>
      <c r="F22" s="35"/>
      <c r="G22" s="35"/>
      <c r="H22" s="35"/>
      <c r="I22" s="36">
        <f>(AVERAGE(--B22,--C22)*'Porcentaje notas'!$B$1)+(AVERAGE(--D22,--E22)*'Porcentaje notas'!$B$2)+(AVERAGE(--F22,--G22)*'Porcentaje notas'!$B$3)+(--H22*'Porcentaje notas'!$B$4)</f>
        <v>0.70000000000000007</v>
      </c>
      <c r="J22" s="17"/>
      <c r="M22" s="17"/>
      <c r="N22" s="17"/>
      <c r="O22" s="17"/>
      <c r="P22" s="17"/>
      <c r="Q22" s="17"/>
    </row>
    <row r="23" spans="1:17" ht="15" customHeight="1" x14ac:dyDescent="0.2">
      <c r="A23" s="16" t="s">
        <v>76</v>
      </c>
      <c r="B23" s="35">
        <v>5</v>
      </c>
      <c r="C23" s="35">
        <v>6</v>
      </c>
      <c r="D23" s="35">
        <v>7</v>
      </c>
      <c r="E23" s="35">
        <v>7</v>
      </c>
      <c r="F23" s="35">
        <v>7</v>
      </c>
      <c r="G23" s="35"/>
      <c r="H23" s="35">
        <v>9.1</v>
      </c>
      <c r="I23" s="36">
        <f>(AVERAGE(--B23,--C23)*'Porcentaje notas'!$B$1)+(AVERAGE(--D23,--E23)*'Porcentaje notas'!$B$2)+(AVERAGE(--F23,--G23)*'Porcentaje notas'!$B$3)+(--H23*'Porcentaje notas'!$B$4)</f>
        <v>7.41</v>
      </c>
      <c r="J23" s="17"/>
      <c r="M23" s="17"/>
      <c r="N23" s="17"/>
      <c r="O23" s="17"/>
      <c r="P23" s="17"/>
      <c r="Q23" s="17"/>
    </row>
    <row r="24" spans="1:17" ht="15" customHeight="1" x14ac:dyDescent="0.2">
      <c r="A24" s="16" t="s">
        <v>77</v>
      </c>
      <c r="B24" s="35">
        <v>8.9</v>
      </c>
      <c r="C24" s="35">
        <v>9</v>
      </c>
      <c r="D24" s="35">
        <v>2.4</v>
      </c>
      <c r="E24" s="35"/>
      <c r="F24" s="35">
        <v>9</v>
      </c>
      <c r="G24" s="35"/>
      <c r="H24" s="35">
        <v>7</v>
      </c>
      <c r="I24" s="36">
        <f>(AVERAGE(--B24,--C24)*'Porcentaje notas'!$B$1)+(AVERAGE(--D24,--E24)*'Porcentaje notas'!$B$2)+(AVERAGE(--F24,--G24)*'Porcentaje notas'!$B$3)+(--H24*'Porcentaje notas'!$B$4)</f>
        <v>6.1150000000000002</v>
      </c>
      <c r="J24" s="17"/>
      <c r="M24" s="17"/>
      <c r="N24" s="17"/>
      <c r="O24" s="17"/>
      <c r="P24" s="17"/>
      <c r="Q24" s="17"/>
    </row>
    <row r="25" spans="1:17" ht="15" customHeight="1" x14ac:dyDescent="0.2">
      <c r="A25" s="16" t="s">
        <v>78</v>
      </c>
      <c r="B25" s="35">
        <v>8.9</v>
      </c>
      <c r="C25" s="35">
        <v>9</v>
      </c>
      <c r="D25" s="35">
        <v>8</v>
      </c>
      <c r="E25" s="35">
        <v>4</v>
      </c>
      <c r="F25" s="35">
        <v>9</v>
      </c>
      <c r="G25" s="35">
        <v>8</v>
      </c>
      <c r="H25" s="35">
        <v>9</v>
      </c>
      <c r="I25" s="36">
        <f>(AVERAGE(--B25,--C25)*'Porcentaje notas'!$B$1)+(AVERAGE(--D25,--E25)*'Porcentaje notas'!$B$2)+(AVERAGE(--F25,--G25)*'Porcentaje notas'!$B$3)+(--H25*'Porcentaje notas'!$B$4)</f>
        <v>8.5949999999999989</v>
      </c>
      <c r="J25" s="17"/>
      <c r="K25" s="17"/>
      <c r="L25" s="17"/>
      <c r="M25" s="17"/>
      <c r="N25" s="17"/>
      <c r="O25" s="17"/>
      <c r="P25" s="17"/>
      <c r="Q25" s="17"/>
    </row>
    <row r="26" spans="1:17" ht="15" customHeight="1" x14ac:dyDescent="0.2">
      <c r="A26" s="16" t="s">
        <v>79</v>
      </c>
      <c r="B26" s="35">
        <v>9</v>
      </c>
      <c r="C26" s="35">
        <v>10</v>
      </c>
      <c r="D26" s="35"/>
      <c r="E26" s="35"/>
      <c r="F26" s="35">
        <v>7</v>
      </c>
      <c r="G26" s="35"/>
      <c r="H26" s="35">
        <v>0</v>
      </c>
      <c r="I26" s="36">
        <f>(AVERAGE(--B26,--C26)*'Porcentaje notas'!$B$1)+(AVERAGE(--D26,--E26)*'Porcentaje notas'!$B$2)+(AVERAGE(--F26,--G26)*'Porcentaje notas'!$B$3)+(--H26*'Porcentaje notas'!$B$4)</f>
        <v>1.6500000000000001</v>
      </c>
      <c r="J26" s="17"/>
      <c r="K26" s="17"/>
      <c r="L26" s="17"/>
      <c r="M26" s="17"/>
      <c r="N26" s="17"/>
      <c r="O26" s="17"/>
      <c r="P26" s="17"/>
      <c r="Q26" s="17"/>
    </row>
    <row r="27" spans="1:17" ht="15" customHeight="1" x14ac:dyDescent="0.2">
      <c r="A27" s="16" t="s">
        <v>80</v>
      </c>
      <c r="B27" s="35">
        <v>5.2</v>
      </c>
      <c r="C27" s="35">
        <v>6.2</v>
      </c>
      <c r="D27" s="35">
        <v>0.2</v>
      </c>
      <c r="E27" s="35">
        <v>7</v>
      </c>
      <c r="F27" s="35"/>
      <c r="G27" s="35"/>
      <c r="H27" s="35">
        <v>6.5</v>
      </c>
      <c r="I27" s="36">
        <f>(AVERAGE(--B27,--C27)*'Porcentaje notas'!$B$1)+(AVERAGE(--D27,--E27)*'Porcentaje notas'!$B$2)+(AVERAGE(--F27,--G27)*'Porcentaje notas'!$B$3)+(--H27*'Porcentaje notas'!$B$4)</f>
        <v>4.83</v>
      </c>
      <c r="J27" s="17"/>
      <c r="K27" s="17"/>
      <c r="L27" s="17"/>
      <c r="M27" s="17"/>
      <c r="N27" s="17"/>
      <c r="O27" s="17"/>
      <c r="P27" s="17"/>
      <c r="Q27" s="17"/>
    </row>
    <row r="28" spans="1:17" ht="15" customHeight="1" x14ac:dyDescent="0.2">
      <c r="A28" s="16" t="s">
        <v>81</v>
      </c>
      <c r="B28" s="35">
        <v>5.3</v>
      </c>
      <c r="C28" s="35">
        <v>6</v>
      </c>
      <c r="D28" s="35">
        <v>0.6</v>
      </c>
      <c r="E28" s="35"/>
      <c r="F28" s="35"/>
      <c r="G28" s="35">
        <v>0.55000000000000004</v>
      </c>
      <c r="H28" s="35">
        <v>7.5</v>
      </c>
      <c r="I28" s="36">
        <f>(AVERAGE(--B28,--C28)*'Porcentaje notas'!$B$1)+(AVERAGE(--D28,--E28)*'Porcentaje notas'!$B$2)+(AVERAGE(--F28,--G28)*'Porcentaje notas'!$B$3)+(--H28*'Porcentaje notas'!$B$4)</f>
        <v>5.15</v>
      </c>
      <c r="J28" s="17"/>
      <c r="K28" s="17"/>
      <c r="L28" s="17"/>
      <c r="M28" s="17"/>
      <c r="N28" s="17"/>
      <c r="O28" s="17"/>
      <c r="P28" s="17"/>
      <c r="Q28" s="17"/>
    </row>
    <row r="29" spans="1:17" ht="15" customHeight="1" x14ac:dyDescent="0.2">
      <c r="A29" s="16" t="s">
        <v>82</v>
      </c>
      <c r="B29" s="35">
        <v>9</v>
      </c>
      <c r="C29" s="35">
        <v>10</v>
      </c>
      <c r="D29" s="35">
        <v>2.4</v>
      </c>
      <c r="E29" s="35"/>
      <c r="F29" s="35">
        <v>8</v>
      </c>
      <c r="G29" s="35">
        <v>5.55</v>
      </c>
      <c r="H29" s="35">
        <v>7</v>
      </c>
      <c r="I29" s="36">
        <f>(AVERAGE(--B29,--C29)*'Porcentaje notas'!$B$1)+(AVERAGE(--D29,--E29)*'Porcentaje notas'!$B$2)+(AVERAGE(--F29,--G29)*'Porcentaje notas'!$B$3)+(--H29*'Porcentaje notas'!$B$4)</f>
        <v>6.625</v>
      </c>
      <c r="J29" s="17"/>
      <c r="K29" s="17"/>
      <c r="L29" s="17"/>
      <c r="M29" s="17"/>
      <c r="N29" s="17"/>
      <c r="O29" s="17"/>
      <c r="P29" s="17"/>
      <c r="Q29" s="17"/>
    </row>
    <row r="30" spans="1:17" ht="15" customHeight="1" x14ac:dyDescent="0.2">
      <c r="A30" s="16" t="s">
        <v>83</v>
      </c>
      <c r="B30" s="35"/>
      <c r="C30" s="35"/>
      <c r="D30" s="35"/>
      <c r="E30" s="35"/>
      <c r="F30" s="35">
        <v>4</v>
      </c>
      <c r="G30" s="35"/>
      <c r="H30" s="35">
        <v>0</v>
      </c>
      <c r="I30" s="36">
        <f>(AVERAGE(--B30,--C30)*'Porcentaje notas'!$B$1)+(AVERAGE(--D30,--E30)*'Porcentaje notas'!$B$2)+(AVERAGE(--F30,--G30)*'Porcentaje notas'!$B$3)+(--H30*'Porcentaje notas'!$B$4)</f>
        <v>0.4</v>
      </c>
      <c r="J30" s="17"/>
      <c r="K30" s="17"/>
      <c r="L30" s="17"/>
      <c r="M30" s="17"/>
      <c r="N30" s="17"/>
      <c r="O30" s="17"/>
      <c r="P30" s="17"/>
      <c r="Q30" s="17"/>
    </row>
    <row r="31" spans="1:17" ht="15" customHeight="1" x14ac:dyDescent="0.2">
      <c r="A31" s="16" t="s">
        <v>84</v>
      </c>
      <c r="B31" s="35"/>
      <c r="C31" s="35">
        <v>4</v>
      </c>
      <c r="D31" s="35"/>
      <c r="E31" s="35">
        <v>4</v>
      </c>
      <c r="F31" s="35"/>
      <c r="G31" s="35"/>
      <c r="H31" s="35">
        <v>6.5</v>
      </c>
      <c r="I31" s="36">
        <f>(AVERAGE(--B31,--C31)*'Porcentaje notas'!$B$1)+(AVERAGE(--D31,--E31)*'Porcentaje notas'!$B$2)+(AVERAGE(--F31,--G31)*'Porcentaje notas'!$B$3)+(--H31*'Porcentaje notas'!$B$4)</f>
        <v>4.3</v>
      </c>
      <c r="J31" s="17"/>
      <c r="K31" s="17"/>
      <c r="L31" s="17"/>
      <c r="M31" s="17"/>
      <c r="N31" s="17"/>
      <c r="O31" s="17"/>
      <c r="P31" s="17"/>
      <c r="Q31" s="17"/>
    </row>
    <row r="32" spans="1:17" ht="15" customHeight="1" x14ac:dyDescent="0.2">
      <c r="A32" s="16" t="s">
        <v>85</v>
      </c>
      <c r="B32" s="35">
        <v>7</v>
      </c>
      <c r="C32" s="35">
        <v>8</v>
      </c>
      <c r="D32" s="35">
        <v>4.2</v>
      </c>
      <c r="E32" s="35">
        <v>5.6</v>
      </c>
      <c r="F32" s="35"/>
      <c r="G32" s="35">
        <v>6.5</v>
      </c>
      <c r="H32" s="35">
        <v>8.8000000000000007</v>
      </c>
      <c r="I32" s="36">
        <f>(AVERAGE(--B32,--C32)*'Porcentaje notas'!$B$1)+(AVERAGE(--D32,--E32)*'Porcentaje notas'!$B$2)+(AVERAGE(--F32,--G32)*'Porcentaje notas'!$B$3)+(--H32*'Porcentaje notas'!$B$4)</f>
        <v>7.17</v>
      </c>
      <c r="J32" s="17"/>
      <c r="K32" s="17"/>
      <c r="L32" s="17"/>
      <c r="M32" s="17"/>
      <c r="N32" s="17"/>
      <c r="O32" s="17"/>
      <c r="P32" s="17"/>
      <c r="Q32" s="17"/>
    </row>
    <row r="33" spans="1:17" ht="15" customHeight="1" x14ac:dyDescent="0.2">
      <c r="A33" s="16" t="s">
        <v>86</v>
      </c>
      <c r="B33" s="35"/>
      <c r="C33" s="35"/>
      <c r="D33" s="35"/>
      <c r="E33" s="35"/>
      <c r="F33" s="35"/>
      <c r="G33" s="35"/>
      <c r="H33" s="35">
        <v>6.5</v>
      </c>
      <c r="I33" s="36">
        <f>(AVERAGE(--B33,--C33)*'Porcentaje notas'!$B$1)+(AVERAGE(--D33,--E33)*'Porcentaje notas'!$B$2)+(AVERAGE(--F33,--G33)*'Porcentaje notas'!$B$3)+(--H33*'Porcentaje notas'!$B$4)</f>
        <v>3.9</v>
      </c>
      <c r="J33" s="17"/>
      <c r="K33" s="17"/>
      <c r="L33" s="17"/>
      <c r="M33" s="17"/>
      <c r="N33" s="17"/>
      <c r="O33" s="17"/>
      <c r="P33" s="17"/>
      <c r="Q33" s="17"/>
    </row>
    <row r="34" spans="1:17" ht="15" customHeight="1" x14ac:dyDescent="0.2">
      <c r="A34" s="16" t="s">
        <v>87</v>
      </c>
      <c r="B34" s="35">
        <v>5</v>
      </c>
      <c r="C34" s="35">
        <v>5</v>
      </c>
      <c r="D34" s="35">
        <v>4</v>
      </c>
      <c r="E34" s="35">
        <v>6.3</v>
      </c>
      <c r="F34" s="35">
        <v>7</v>
      </c>
      <c r="G34" s="35">
        <v>4.3</v>
      </c>
      <c r="H34" s="35">
        <v>7</v>
      </c>
      <c r="I34" s="36">
        <f>(AVERAGE(--B34,--C34)*'Porcentaje notas'!$B$1)+(AVERAGE(--D34,--E34)*'Porcentaje notas'!$B$2)+(AVERAGE(--F34,--G34)*'Porcentaje notas'!$B$3)+(--H34*'Porcentaje notas'!$B$4)</f>
        <v>6.3450000000000006</v>
      </c>
      <c r="J34" s="17"/>
      <c r="K34" s="17"/>
      <c r="L34" s="17"/>
      <c r="M34" s="17"/>
      <c r="N34" s="17"/>
      <c r="O34" s="17"/>
      <c r="P34" s="17"/>
      <c r="Q34" s="17"/>
    </row>
    <row r="35" spans="1:17" ht="15" customHeight="1" x14ac:dyDescent="0.2">
      <c r="A35" s="16" t="s">
        <v>88</v>
      </c>
      <c r="B35" s="35">
        <v>3</v>
      </c>
      <c r="C35" s="35">
        <v>3</v>
      </c>
      <c r="D35" s="35">
        <v>0.75</v>
      </c>
      <c r="E35" s="35">
        <v>0</v>
      </c>
      <c r="F35" s="35"/>
      <c r="G35" s="35">
        <v>2.5</v>
      </c>
      <c r="H35" s="35">
        <v>6.8</v>
      </c>
      <c r="I35" s="36">
        <f>(AVERAGE(--B35,--C35)*'Porcentaje notas'!$B$1)+(AVERAGE(--D35,--E35)*'Porcentaje notas'!$B$2)+(AVERAGE(--F35,--G35)*'Porcentaje notas'!$B$3)+(--H35*'Porcentaje notas'!$B$4)</f>
        <v>4.6675000000000004</v>
      </c>
      <c r="J35" s="17"/>
      <c r="K35" s="17"/>
      <c r="L35" s="17"/>
      <c r="M35" s="17"/>
      <c r="N35" s="17"/>
      <c r="O35" s="17"/>
      <c r="P35" s="17"/>
      <c r="Q35" s="17"/>
    </row>
    <row r="36" spans="1:17" ht="15" customHeight="1" x14ac:dyDescent="0.2">
      <c r="A36" s="16" t="s">
        <v>89</v>
      </c>
      <c r="B36" s="35">
        <v>7</v>
      </c>
      <c r="C36" s="35">
        <v>8</v>
      </c>
      <c r="D36" s="35">
        <v>3</v>
      </c>
      <c r="E36" s="35">
        <v>5.2</v>
      </c>
      <c r="F36" s="35"/>
      <c r="G36" s="35">
        <v>8</v>
      </c>
      <c r="H36" s="35">
        <v>6.8</v>
      </c>
      <c r="I36" s="36">
        <f>(AVERAGE(--B36,--C36)*'Porcentaje notas'!$B$1)+(AVERAGE(--D36,--E36)*'Porcentaje notas'!$B$2)+(AVERAGE(--F36,--G36)*'Porcentaje notas'!$B$3)+(--H36*'Porcentaje notas'!$B$4)</f>
        <v>6.04</v>
      </c>
      <c r="J36" s="17"/>
      <c r="K36" s="17"/>
      <c r="L36" s="17"/>
      <c r="M36" s="17"/>
      <c r="N36" s="17"/>
      <c r="O36" s="17"/>
      <c r="P36" s="17"/>
      <c r="Q36" s="17"/>
    </row>
    <row r="37" spans="1:17" ht="15" customHeight="1" x14ac:dyDescent="0.2">
      <c r="A37" s="16" t="s">
        <v>90</v>
      </c>
      <c r="B37" s="35"/>
      <c r="C37" s="35"/>
      <c r="D37" s="35"/>
      <c r="E37" s="35"/>
      <c r="F37" s="35"/>
      <c r="G37" s="35"/>
      <c r="H37" s="35">
        <v>4.3</v>
      </c>
      <c r="I37" s="36">
        <f>(AVERAGE(--B37,--C37)*'Porcentaje notas'!$B$1)+(AVERAGE(--D37,--E37)*'Porcentaje notas'!$B$2)+(AVERAGE(--F37,--G37)*'Porcentaje notas'!$B$3)+(--H37*'Porcentaje notas'!$B$4)</f>
        <v>2.5799999999999996</v>
      </c>
      <c r="J37" s="17"/>
      <c r="K37" s="17"/>
      <c r="L37" s="17"/>
      <c r="M37" s="17"/>
      <c r="N37" s="17"/>
      <c r="O37" s="17"/>
      <c r="P37" s="17"/>
      <c r="Q37" s="17"/>
    </row>
    <row r="38" spans="1:17" ht="15" customHeight="1" x14ac:dyDescent="0.2">
      <c r="A38" s="16" t="s">
        <v>91</v>
      </c>
      <c r="B38" s="35">
        <v>5</v>
      </c>
      <c r="C38" s="35"/>
      <c r="D38" s="35">
        <v>4.2</v>
      </c>
      <c r="E38" s="35"/>
      <c r="F38" s="35"/>
      <c r="G38" s="35"/>
      <c r="H38" s="35">
        <v>2.25</v>
      </c>
      <c r="I38" s="36">
        <f>(AVERAGE(--B38,--C38)*'Porcentaje notas'!$B$1)+(AVERAGE(--D38,--E38)*'Porcentaje notas'!$B$2)+(AVERAGE(--F38,--G38)*'Porcentaje notas'!$B$3)+(--H38*'Porcentaje notas'!$B$4)</f>
        <v>1.8099999999999998</v>
      </c>
      <c r="J38" s="17"/>
      <c r="K38" s="17"/>
      <c r="L38" s="17"/>
      <c r="M38" s="17"/>
      <c r="N38" s="17"/>
      <c r="O38" s="17"/>
      <c r="P38" s="17"/>
      <c r="Q38" s="17"/>
    </row>
    <row r="39" spans="1:17" ht="15" customHeight="1" x14ac:dyDescent="0.2">
      <c r="A39" s="16" t="s">
        <v>92</v>
      </c>
      <c r="B39" s="35">
        <v>2.8</v>
      </c>
      <c r="C39" s="35">
        <v>3.8</v>
      </c>
      <c r="D39" s="35"/>
      <c r="E39" s="35"/>
      <c r="F39" s="35">
        <v>8</v>
      </c>
      <c r="G39" s="35">
        <v>8</v>
      </c>
      <c r="H39" s="35">
        <v>6.5</v>
      </c>
      <c r="I39" s="36">
        <f>(AVERAGE(--B39,--C39)*'Porcentaje notas'!$B$1)+(AVERAGE(--D39,--E39)*'Porcentaje notas'!$B$2)+(AVERAGE(--F39,--G39)*'Porcentaje notas'!$B$3)+(--H39*'Porcentaje notas'!$B$4)</f>
        <v>5.83</v>
      </c>
      <c r="J39" s="17"/>
      <c r="K39" s="17"/>
      <c r="L39" s="17"/>
      <c r="M39" s="17"/>
      <c r="N39" s="17"/>
      <c r="O39" s="17"/>
      <c r="P39" s="17"/>
      <c r="Q39" s="17"/>
    </row>
    <row r="40" spans="1:17" ht="15" customHeight="1" x14ac:dyDescent="0.2">
      <c r="A40" s="16" t="s">
        <v>93</v>
      </c>
      <c r="B40" s="35">
        <v>5.5</v>
      </c>
      <c r="C40" s="35">
        <v>5</v>
      </c>
      <c r="D40" s="35">
        <v>0.25</v>
      </c>
      <c r="E40" s="35">
        <v>7</v>
      </c>
      <c r="F40" s="35"/>
      <c r="G40" s="35"/>
      <c r="H40" s="35">
        <v>5</v>
      </c>
      <c r="I40" s="36">
        <f>(AVERAGE(--B40,--C40)*'Porcentaje notas'!$B$1)+(AVERAGE(--D40,--E40)*'Porcentaje notas'!$B$2)+(AVERAGE(--F40,--G40)*'Porcentaje notas'!$B$3)+(--H40*'Porcentaje notas'!$B$4)</f>
        <v>3.8875000000000002</v>
      </c>
      <c r="J40" s="17"/>
      <c r="K40" s="17"/>
      <c r="L40" s="17"/>
      <c r="M40" s="17"/>
      <c r="N40" s="17"/>
      <c r="O40" s="17"/>
      <c r="P40" s="17"/>
      <c r="Q40" s="17"/>
    </row>
    <row r="41" spans="1:17" ht="15" customHeight="1" x14ac:dyDescent="0.2">
      <c r="A41" s="16" t="s">
        <v>94</v>
      </c>
      <c r="B41" s="35">
        <v>6.5</v>
      </c>
      <c r="C41" s="35">
        <v>7.5</v>
      </c>
      <c r="D41" s="35"/>
      <c r="E41" s="35"/>
      <c r="F41" s="35">
        <v>7</v>
      </c>
      <c r="G41" s="35">
        <v>7</v>
      </c>
      <c r="H41" s="35">
        <v>8.9</v>
      </c>
      <c r="I41" s="36">
        <f>(AVERAGE(--B41,--C41)*'Porcentaje notas'!$B$1)+(AVERAGE(--D41,--E41)*'Porcentaje notas'!$B$2)+(AVERAGE(--F41,--G41)*'Porcentaje notas'!$B$3)+(--H41*'Porcentaje notas'!$B$4)</f>
        <v>7.4399999999999995</v>
      </c>
      <c r="J41" s="17"/>
      <c r="K41" s="17"/>
      <c r="L41" s="17"/>
      <c r="M41" s="17"/>
      <c r="N41" s="17"/>
      <c r="O41" s="17"/>
      <c r="P41" s="17"/>
      <c r="Q41" s="17"/>
    </row>
    <row r="42" spans="1:17" ht="15" customHeight="1" x14ac:dyDescent="0.2">
      <c r="A42" s="16" t="s">
        <v>95</v>
      </c>
      <c r="B42" s="35"/>
      <c r="C42" s="35"/>
      <c r="D42" s="35"/>
      <c r="E42" s="35"/>
      <c r="F42" s="35"/>
      <c r="G42" s="35"/>
      <c r="H42" s="35">
        <v>8.9</v>
      </c>
      <c r="I42" s="36">
        <f>(AVERAGE(--B42,--C42)*'Porcentaje notas'!$B$1)+(AVERAGE(--D42,--E42)*'Porcentaje notas'!$B$2)+(AVERAGE(--F42,--G42)*'Porcentaje notas'!$B$3)+(--H42*'Porcentaje notas'!$B$4)</f>
        <v>5.34</v>
      </c>
      <c r="J42" s="17"/>
      <c r="K42" s="17"/>
      <c r="L42" s="17"/>
      <c r="M42" s="17"/>
      <c r="N42" s="17"/>
      <c r="O42" s="17"/>
      <c r="P42" s="17"/>
      <c r="Q42" s="17"/>
    </row>
    <row r="43" spans="1:17" ht="15" customHeight="1" x14ac:dyDescent="0.2">
      <c r="A43" s="16" t="s">
        <v>96</v>
      </c>
      <c r="B43" s="35">
        <v>7.5</v>
      </c>
      <c r="C43" s="35">
        <v>9</v>
      </c>
      <c r="D43" s="35">
        <v>8.6999999999999993</v>
      </c>
      <c r="E43" s="35">
        <v>6.7</v>
      </c>
      <c r="F43" s="35"/>
      <c r="G43" s="35">
        <v>7.1</v>
      </c>
      <c r="H43" s="35">
        <v>8.8000000000000007</v>
      </c>
      <c r="I43" s="36">
        <f>(AVERAGE(--B43,--C43)*'Porcentaje notas'!$B$1)+(AVERAGE(--D43,--E43)*'Porcentaje notas'!$B$2)+(AVERAGE(--F43,--G43)*'Porcentaje notas'!$B$3)+(--H43*'Porcentaje notas'!$B$4)</f>
        <v>7.5850000000000009</v>
      </c>
      <c r="J43" s="17"/>
      <c r="K43" s="17"/>
      <c r="L43" s="17"/>
      <c r="M43" s="17"/>
      <c r="N43" s="17"/>
      <c r="O43" s="17"/>
      <c r="P43" s="17"/>
      <c r="Q43" s="17"/>
    </row>
    <row r="44" spans="1:17" ht="15" customHeight="1" x14ac:dyDescent="0.2">
      <c r="A44" s="16" t="s">
        <v>97</v>
      </c>
      <c r="B44" s="35"/>
      <c r="C44" s="35"/>
      <c r="D44" s="35">
        <v>0</v>
      </c>
      <c r="E44" s="35"/>
      <c r="F44" s="35"/>
      <c r="G44" s="35">
        <v>2.5499999999999998</v>
      </c>
      <c r="H44" s="35">
        <v>5.0999999999999996</v>
      </c>
      <c r="I44" s="36">
        <f>(AVERAGE(--B44,--C44)*'Porcentaje notas'!$B$1)+(AVERAGE(--D44,--E44)*'Porcentaje notas'!$B$2)+(AVERAGE(--F44,--G44)*'Porcentaje notas'!$B$3)+(--H44*'Porcentaje notas'!$B$4)</f>
        <v>3.3149999999999995</v>
      </c>
      <c r="J44" s="17"/>
      <c r="K44" s="17"/>
      <c r="L44" s="17"/>
      <c r="M44" s="17"/>
      <c r="N44" s="17"/>
      <c r="O44" s="17"/>
      <c r="P44" s="17"/>
      <c r="Q44" s="17"/>
    </row>
    <row r="45" spans="1:17" ht="15" customHeight="1" x14ac:dyDescent="0.2">
      <c r="A45" s="16" t="s">
        <v>98</v>
      </c>
      <c r="B45" s="35"/>
      <c r="C45" s="35"/>
      <c r="D45" s="35"/>
      <c r="E45" s="35">
        <v>1.8</v>
      </c>
      <c r="F45" s="35"/>
      <c r="G45" s="35"/>
      <c r="H45" s="35">
        <v>5.6</v>
      </c>
      <c r="I45" s="36">
        <f>(AVERAGE(--B45,--C45)*'Porcentaje notas'!$B$1)+(AVERAGE(--D45,--E45)*'Porcentaje notas'!$B$2)+(AVERAGE(--F45,--G45)*'Porcentaje notas'!$B$3)+(--H45*'Porcentaje notas'!$B$4)</f>
        <v>3.4499999999999997</v>
      </c>
      <c r="J45" s="17"/>
      <c r="K45" s="17"/>
      <c r="L45" s="17"/>
      <c r="M45" s="17"/>
      <c r="N45" s="17"/>
      <c r="O45" s="17"/>
      <c r="P45" s="17"/>
      <c r="Q45" s="17"/>
    </row>
    <row r="46" spans="1:17" ht="15" customHeight="1" x14ac:dyDescent="0.2">
      <c r="A46" s="16" t="s">
        <v>99</v>
      </c>
      <c r="B46" s="35">
        <v>6</v>
      </c>
      <c r="C46" s="35">
        <v>7</v>
      </c>
      <c r="D46" s="35">
        <v>3.9</v>
      </c>
      <c r="E46" s="35">
        <v>7.1</v>
      </c>
      <c r="F46" s="35">
        <v>4</v>
      </c>
      <c r="G46" s="35">
        <v>4.5999999999999996</v>
      </c>
      <c r="H46" s="35">
        <v>8.1</v>
      </c>
      <c r="I46" s="36">
        <f>(AVERAGE(--B46,--C46)*'Porcentaje notas'!$B$1)+(AVERAGE(--D46,--E46)*'Porcentaje notas'!$B$2)+(AVERAGE(--F46,--G46)*'Porcentaje notas'!$B$3)+(--H46*'Porcentaje notas'!$B$4)</f>
        <v>6.92</v>
      </c>
      <c r="J46" s="17"/>
      <c r="K46" s="17"/>
      <c r="L46" s="17"/>
      <c r="M46" s="17"/>
      <c r="N46" s="17"/>
      <c r="O46" s="17"/>
      <c r="P46" s="17"/>
      <c r="Q46" s="17"/>
    </row>
    <row r="47" spans="1:17" ht="15" customHeight="1" x14ac:dyDescent="0.2">
      <c r="A47" s="16" t="s">
        <v>100</v>
      </c>
      <c r="B47" s="35"/>
      <c r="C47" s="35"/>
      <c r="D47" s="35"/>
      <c r="E47" s="35"/>
      <c r="F47" s="35"/>
      <c r="G47" s="35">
        <v>0.25</v>
      </c>
      <c r="H47" s="35">
        <v>6.3</v>
      </c>
      <c r="I47" s="36">
        <f>(AVERAGE(--B47,--C47)*'Porcentaje notas'!$B$1)+(AVERAGE(--D47,--E47)*'Porcentaje notas'!$B$2)+(AVERAGE(--F47,--G47)*'Porcentaje notas'!$B$3)+(--H47*'Porcentaje notas'!$B$4)</f>
        <v>3.8049999999999997</v>
      </c>
      <c r="J47" s="17"/>
      <c r="K47" s="17"/>
      <c r="L47" s="17"/>
      <c r="M47" s="17"/>
      <c r="N47" s="17"/>
      <c r="O47" s="17"/>
      <c r="P47" s="17"/>
      <c r="Q47" s="17"/>
    </row>
    <row r="48" spans="1:17" ht="15" customHeight="1" x14ac:dyDescent="0.2">
      <c r="A48" s="16" t="s">
        <v>101</v>
      </c>
      <c r="B48" s="35">
        <v>2</v>
      </c>
      <c r="C48" s="35">
        <v>3</v>
      </c>
      <c r="D48" s="35">
        <v>0.7</v>
      </c>
      <c r="E48" s="35">
        <v>1.8</v>
      </c>
      <c r="F48" s="35"/>
      <c r="G48" s="35">
        <v>0.1</v>
      </c>
      <c r="H48" s="35">
        <v>6</v>
      </c>
      <c r="I48" s="36">
        <f>(AVERAGE(--B48,--C48)*'Porcentaje notas'!$B$1)+(AVERAGE(--D48,--E48)*'Porcentaje notas'!$B$2)+(AVERAGE(--F48,--G48)*'Porcentaje notas'!$B$3)+(--H48*'Porcentaje notas'!$B$4)</f>
        <v>3.9849999999999994</v>
      </c>
      <c r="J48" s="17"/>
      <c r="K48" s="17"/>
      <c r="L48" s="17"/>
      <c r="M48" s="17"/>
      <c r="N48" s="17"/>
      <c r="O48" s="17"/>
      <c r="P48" s="17"/>
      <c r="Q48" s="17"/>
    </row>
    <row r="49" spans="1:17" ht="15" customHeight="1" x14ac:dyDescent="0.2">
      <c r="A49" s="16" t="s">
        <v>102</v>
      </c>
      <c r="B49" s="35">
        <v>2</v>
      </c>
      <c r="C49" s="35">
        <v>3</v>
      </c>
      <c r="D49" s="35">
        <v>1.3</v>
      </c>
      <c r="E49" s="35">
        <v>0</v>
      </c>
      <c r="F49" s="35"/>
      <c r="G49" s="35">
        <v>0.3</v>
      </c>
      <c r="H49" s="35">
        <v>8</v>
      </c>
      <c r="I49" s="36">
        <f>(AVERAGE(--B49,--C49)*'Porcentaje notas'!$B$1)+(AVERAGE(--D49,--E49)*'Porcentaje notas'!$B$2)+(AVERAGE(--F49,--G49)*'Porcentaje notas'!$B$3)+(--H49*'Porcentaje notas'!$B$4)</f>
        <v>5.1449999999999996</v>
      </c>
      <c r="J49" s="17"/>
      <c r="K49" s="17"/>
      <c r="L49" s="17"/>
      <c r="M49" s="17"/>
      <c r="N49" s="17"/>
      <c r="O49" s="17"/>
      <c r="P49" s="17"/>
      <c r="Q49" s="17"/>
    </row>
    <row r="50" spans="1:17" ht="15" customHeight="1" x14ac:dyDescent="0.2">
      <c r="A50" s="16" t="s">
        <v>103</v>
      </c>
      <c r="B50" s="35"/>
      <c r="C50" s="35"/>
      <c r="D50" s="35"/>
      <c r="E50" s="35">
        <v>0.6</v>
      </c>
      <c r="F50" s="35"/>
      <c r="G50" s="35">
        <v>1.5</v>
      </c>
      <c r="H50" s="35">
        <v>6</v>
      </c>
      <c r="I50" s="36">
        <f>(AVERAGE(--B50,--C50)*'Porcentaje notas'!$B$1)+(AVERAGE(--D50,--E50)*'Porcentaje notas'!$B$2)+(AVERAGE(--F50,--G50)*'Porcentaje notas'!$B$3)+(--H50*'Porcentaje notas'!$B$4)</f>
        <v>3.78</v>
      </c>
      <c r="J50" s="17"/>
      <c r="K50" s="17"/>
      <c r="L50" s="17"/>
      <c r="M50" s="17"/>
      <c r="N50" s="17"/>
      <c r="O50" s="17"/>
      <c r="P50" s="17"/>
      <c r="Q50" s="17"/>
    </row>
    <row r="51" spans="1:17" ht="15" customHeight="1" x14ac:dyDescent="0.2">
      <c r="A51" s="16" t="s">
        <v>104</v>
      </c>
      <c r="B51" s="35">
        <v>6</v>
      </c>
      <c r="C51" s="35">
        <v>8</v>
      </c>
      <c r="D51" s="35">
        <v>2.25</v>
      </c>
      <c r="E51" s="35">
        <v>5.9</v>
      </c>
      <c r="F51" s="35">
        <v>8</v>
      </c>
      <c r="G51" s="35">
        <v>6</v>
      </c>
      <c r="H51" s="35">
        <v>6.3</v>
      </c>
      <c r="I51" s="36">
        <f>(AVERAGE(--B51,--C51)*'Porcentaje notas'!$B$1)+(AVERAGE(--D51,--E51)*'Porcentaje notas'!$B$2)+(AVERAGE(--F51,--G51)*'Porcentaje notas'!$B$3)+(--H51*'Porcentaje notas'!$B$4)</f>
        <v>6.2874999999999996</v>
      </c>
      <c r="J51" s="17"/>
      <c r="K51" s="17"/>
      <c r="L51" s="17"/>
      <c r="M51" s="17"/>
      <c r="N51" s="17"/>
      <c r="O51" s="17"/>
      <c r="P51" s="17"/>
      <c r="Q51" s="17"/>
    </row>
    <row r="52" spans="1:17" ht="15" customHeight="1" x14ac:dyDescent="0.2">
      <c r="A52" s="16" t="s">
        <v>105</v>
      </c>
      <c r="B52" s="35"/>
      <c r="C52" s="35"/>
      <c r="D52" s="35"/>
      <c r="E52" s="35"/>
      <c r="F52" s="35"/>
      <c r="G52" s="35">
        <v>1.6</v>
      </c>
      <c r="H52" s="35">
        <v>6.3</v>
      </c>
      <c r="I52" s="36">
        <f>(AVERAGE(--B52,--C52)*'Porcentaje notas'!$B$1)+(AVERAGE(--D52,--E52)*'Porcentaje notas'!$B$2)+(AVERAGE(--F52,--G52)*'Porcentaje notas'!$B$3)+(--H52*'Porcentaje notas'!$B$4)</f>
        <v>3.94</v>
      </c>
      <c r="J52" s="17"/>
      <c r="K52" s="17"/>
      <c r="L52" s="17"/>
      <c r="M52" s="17"/>
      <c r="N52" s="17"/>
      <c r="O52" s="17"/>
      <c r="P52" s="17"/>
      <c r="Q52" s="17"/>
    </row>
    <row r="53" spans="1:17" ht="15" customHeight="1" x14ac:dyDescent="0.2">
      <c r="A53" s="16" t="s">
        <v>106</v>
      </c>
      <c r="B53" s="35"/>
      <c r="C53" s="35"/>
      <c r="D53" s="35"/>
      <c r="E53" s="35"/>
      <c r="F53" s="35"/>
      <c r="G53" s="35"/>
      <c r="H53" s="35">
        <v>6.5</v>
      </c>
      <c r="I53" s="36">
        <f>(AVERAGE(--B53,--C53)*'Porcentaje notas'!$B$1)+(AVERAGE(--D53,--E53)*'Porcentaje notas'!$B$2)+(AVERAGE(--F53,--G53)*'Porcentaje notas'!$B$3)+(--H53*'Porcentaje notas'!$B$4)</f>
        <v>3.9</v>
      </c>
      <c r="J53" s="17"/>
      <c r="K53" s="17"/>
      <c r="L53" s="17"/>
      <c r="M53" s="17"/>
      <c r="N53" s="17"/>
      <c r="O53" s="17"/>
      <c r="P53" s="17"/>
      <c r="Q53" s="17"/>
    </row>
    <row r="54" spans="1:17" ht="15" customHeight="1" x14ac:dyDescent="0.2">
      <c r="A54" s="16" t="s">
        <v>107</v>
      </c>
      <c r="B54" s="35">
        <v>2.8</v>
      </c>
      <c r="C54" s="35">
        <v>3.8</v>
      </c>
      <c r="D54" s="35">
        <v>6.5</v>
      </c>
      <c r="E54" s="35"/>
      <c r="F54" s="35"/>
      <c r="G54" s="35"/>
      <c r="H54" s="35">
        <v>8.1</v>
      </c>
      <c r="I54" s="36">
        <f>(AVERAGE(--B54,--C54)*'Porcentaje notas'!$B$1)+(AVERAGE(--D54,--E54)*'Porcentaje notas'!$B$2)+(AVERAGE(--F54,--G54)*'Porcentaje notas'!$B$3)+(--H54*'Porcentaje notas'!$B$4)</f>
        <v>5.5149999999999997</v>
      </c>
      <c r="J54" s="17"/>
      <c r="K54" s="17"/>
      <c r="L54" s="17"/>
      <c r="M54" s="17"/>
      <c r="N54" s="17"/>
      <c r="O54" s="17"/>
      <c r="P54" s="17"/>
      <c r="Q54" s="17"/>
    </row>
    <row r="55" spans="1:17" ht="15" hidden="1" customHeight="1" x14ac:dyDescent="0.2">
      <c r="A55" s="16" t="s">
        <v>108</v>
      </c>
      <c r="B55" s="35">
        <v>5.0999999999999996</v>
      </c>
      <c r="C55" s="35">
        <v>6.1</v>
      </c>
      <c r="D55" s="35">
        <v>7</v>
      </c>
      <c r="E55" s="35">
        <v>9</v>
      </c>
      <c r="F55" s="35">
        <v>8</v>
      </c>
      <c r="G55" s="35">
        <v>7</v>
      </c>
      <c r="H55" s="35"/>
      <c r="I55" s="36">
        <f>(AVERAGE(--B55,--C55)*'Porcentaje notas'!$B$1)+(AVERAGE(--D55,--E55)*'Porcentaje notas'!$B$2)+(AVERAGE(--F55,--G55)*'Porcentaje notas'!$B$3)+(--H55*'Porcentaje notas'!$B$4)</f>
        <v>2.86</v>
      </c>
      <c r="J55" s="17"/>
      <c r="K55" s="17"/>
      <c r="L55" s="17"/>
      <c r="M55" s="17"/>
      <c r="N55" s="17"/>
      <c r="O55" s="17"/>
      <c r="P55" s="17"/>
      <c r="Q55" s="17"/>
    </row>
    <row r="56" spans="1:17" ht="15" hidden="1" customHeight="1" x14ac:dyDescent="0.2">
      <c r="A56" s="16" t="s">
        <v>109</v>
      </c>
      <c r="B56" s="35">
        <v>6.5</v>
      </c>
      <c r="C56" s="35">
        <v>7.5</v>
      </c>
      <c r="D56" s="35"/>
      <c r="E56" s="35"/>
      <c r="F56" s="35">
        <v>4</v>
      </c>
      <c r="G56" s="35"/>
      <c r="H56" s="35"/>
      <c r="I56" s="36">
        <f>(AVERAGE(--B56,--C56)*'Porcentaje notas'!$B$1)+(AVERAGE(--D56,--E56)*'Porcentaje notas'!$B$2)+(AVERAGE(--F56,--G56)*'Porcentaje notas'!$B$3)+(--H56*'Porcentaje notas'!$B$4)</f>
        <v>1.1000000000000001</v>
      </c>
      <c r="J56" s="17"/>
      <c r="K56" s="17"/>
      <c r="L56" s="17"/>
      <c r="M56" s="17"/>
      <c r="N56" s="17"/>
      <c r="O56" s="17"/>
      <c r="P56" s="17"/>
      <c r="Q56" s="17"/>
    </row>
    <row r="57" spans="1:17" ht="15" customHeight="1" x14ac:dyDescent="0.2">
      <c r="A57" s="16" t="s">
        <v>110</v>
      </c>
      <c r="B57" s="35"/>
      <c r="C57" s="35"/>
      <c r="D57" s="35">
        <v>1</v>
      </c>
      <c r="E57" s="35"/>
      <c r="F57" s="35">
        <v>1</v>
      </c>
      <c r="G57" s="35"/>
      <c r="H57" s="35">
        <v>6</v>
      </c>
      <c r="I57" s="36">
        <f>(AVERAGE(--B57,--C57)*'Porcentaje notas'!$B$1)+(AVERAGE(--D57,--E57)*'Porcentaje notas'!$B$2)+(AVERAGE(--F57,--G57)*'Porcentaje notas'!$B$3)+(--H57*'Porcentaje notas'!$B$4)</f>
        <v>3.7499999999999996</v>
      </c>
      <c r="J57" s="17"/>
      <c r="K57" s="17"/>
      <c r="L57" s="17"/>
      <c r="M57" s="17"/>
      <c r="N57" s="17"/>
      <c r="O57" s="17"/>
      <c r="P57" s="17"/>
      <c r="Q57" s="17"/>
    </row>
    <row r="58" spans="1:17" ht="15" hidden="1" customHeight="1" x14ac:dyDescent="0.2">
      <c r="A58" s="16" t="s">
        <v>111</v>
      </c>
      <c r="B58" s="35"/>
      <c r="C58" s="35"/>
      <c r="D58" s="35"/>
      <c r="E58" s="35"/>
      <c r="F58" s="35"/>
      <c r="G58" s="35"/>
      <c r="H58" s="35"/>
      <c r="I58" s="36">
        <f>(AVERAGE(--B58,--C58)*'Porcentaje notas'!$B$1)+(AVERAGE(--D58,--E58)*'Porcentaje notas'!$B$2)+(AVERAGE(--F58,--G58)*'Porcentaje notas'!$B$3)+(--H58*'Porcentaje notas'!$B$4)</f>
        <v>0</v>
      </c>
      <c r="J58" s="17"/>
      <c r="K58" s="17"/>
      <c r="L58" s="17"/>
      <c r="M58" s="17"/>
      <c r="N58" s="17"/>
      <c r="O58" s="17"/>
      <c r="P58" s="17"/>
      <c r="Q58" s="17"/>
    </row>
    <row r="59" spans="1:17" ht="15" customHeight="1" x14ac:dyDescent="0.2">
      <c r="A59" s="16" t="s">
        <v>112</v>
      </c>
      <c r="B59" s="35">
        <v>6</v>
      </c>
      <c r="C59" s="35">
        <v>7</v>
      </c>
      <c r="D59" s="35">
        <v>6</v>
      </c>
      <c r="E59" s="35">
        <v>7.5</v>
      </c>
      <c r="F59" s="35"/>
      <c r="G59" s="35">
        <v>7.2</v>
      </c>
      <c r="H59" s="35">
        <v>5</v>
      </c>
      <c r="I59" s="36">
        <f>(AVERAGE(--B59,--C59)*'Porcentaje notas'!$B$1)+(AVERAGE(--D59,--E59)*'Porcentaje notas'!$B$2)+(AVERAGE(--F59,--G59)*'Porcentaje notas'!$B$3)+(--H59*'Porcentaje notas'!$B$4)</f>
        <v>5.0449999999999999</v>
      </c>
      <c r="J59" s="17"/>
      <c r="K59" s="17"/>
      <c r="L59" s="17"/>
      <c r="M59" s="17"/>
      <c r="N59" s="17"/>
      <c r="O59" s="17"/>
      <c r="P59" s="17"/>
      <c r="Q59" s="17"/>
    </row>
  </sheetData>
  <autoFilter ref="A1:I59" xr:uid="{29F75E71-ED2F-4EFA-A81C-152338A36F91}">
    <filterColumn colId="7">
      <customFilters>
        <customFilter operator="notEqual" val=" "/>
      </customFilters>
    </filterColumn>
  </autoFilter>
  <conditionalFormatting sqref="I3:I59">
    <cfRule type="cellIs" dxfId="0" priority="2" operator="greaterThan">
      <formula>5</formula>
    </cfRule>
    <cfRule type="cellIs" dxfId="1" priority="1" operator="lessThan">
      <formula>5</formula>
    </cfRule>
  </conditionalFormatting>
  <printOptions gridLines="1"/>
  <pageMargins left="1.74027777777778" right="0.75" top="1.1597222222222201" bottom="1" header="0.62986111111111098" footer="0.51180555555555496"/>
  <pageSetup paperSize="9" firstPageNumber="0" orientation="portrait" horizontalDpi="4294967292" r:id="rId1"/>
  <headerFooter>
    <oddHeader>&amp;L&amp;18DIN&amp;C&amp;20MATERIALES&amp;R&amp;18GRUPO  2201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6238-7A9D-40E3-A790-74B54878D23B}">
  <dimension ref="A1:B4"/>
  <sheetViews>
    <sheetView workbookViewId="0">
      <selection activeCell="E33" sqref="E33"/>
    </sheetView>
  </sheetViews>
  <sheetFormatPr defaultRowHeight="15" x14ac:dyDescent="0.25"/>
  <sheetData>
    <row r="1" spans="1:2" x14ac:dyDescent="0.25">
      <c r="A1" s="17" t="s">
        <v>120</v>
      </c>
      <c r="B1" s="34">
        <v>0.1</v>
      </c>
    </row>
    <row r="2" spans="1:2" x14ac:dyDescent="0.25">
      <c r="A2" s="17" t="s">
        <v>121</v>
      </c>
      <c r="B2" s="34">
        <v>0.1</v>
      </c>
    </row>
    <row r="3" spans="1:2" x14ac:dyDescent="0.25">
      <c r="A3" s="17" t="s">
        <v>122</v>
      </c>
      <c r="B3" s="34">
        <v>0.2</v>
      </c>
    </row>
    <row r="4" spans="1:2" x14ac:dyDescent="0.25">
      <c r="A4" s="17" t="s">
        <v>123</v>
      </c>
      <c r="B4" s="34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Ejer 1</vt:lpstr>
      <vt:lpstr>Ejer 2</vt:lpstr>
      <vt:lpstr>Ejer 3</vt:lpstr>
      <vt:lpstr>Ejer 4</vt:lpstr>
      <vt:lpstr>Porcentaje notas</vt:lpstr>
      <vt:lpstr>'Ejer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XYZ</cp:lastModifiedBy>
  <cp:revision>0</cp:revision>
  <dcterms:created xsi:type="dcterms:W3CDTF">2011-11-21T11:14:26Z</dcterms:created>
  <dcterms:modified xsi:type="dcterms:W3CDTF">2018-11-30T14:40:27Z</dcterms:modified>
  <dc:language>es-ES</dc:language>
</cp:coreProperties>
</file>