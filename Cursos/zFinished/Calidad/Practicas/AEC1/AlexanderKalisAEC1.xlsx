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Calidad/Practicas/AEC1/"/>
    </mc:Choice>
  </mc:AlternateContent>
  <xr:revisionPtr revIDLastSave="73" documentId="14_{ABAE407F-6D53-493D-9781-8DD906F30714}" xr6:coauthVersionLast="47" xr6:coauthVersionMax="47" xr10:uidLastSave="{C4058C81-CA50-4297-8020-30FB629EC9FC}"/>
  <bookViews>
    <workbookView xWindow="-120" yWindow="330" windowWidth="29040" windowHeight="1599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6" l="1"/>
  <c r="L4" i="6"/>
  <c r="L5" i="6"/>
  <c r="L6" i="6"/>
  <c r="L7" i="6"/>
  <c r="L8" i="6"/>
  <c r="L9" i="6"/>
  <c r="L10" i="6"/>
  <c r="L11" i="6"/>
  <c r="L12" i="6"/>
  <c r="L3" i="6"/>
  <c r="K13" i="6"/>
  <c r="K4" i="6"/>
  <c r="K5" i="6"/>
  <c r="K6" i="6"/>
  <c r="K7" i="6"/>
  <c r="K8" i="6"/>
  <c r="K9" i="6"/>
  <c r="K10" i="6"/>
  <c r="K11" i="6"/>
  <c r="K12" i="6"/>
  <c r="K3" i="6"/>
  <c r="J13" i="6"/>
  <c r="J4" i="6"/>
  <c r="J5" i="6"/>
  <c r="J6" i="6"/>
  <c r="J7" i="6"/>
  <c r="J8" i="6"/>
  <c r="J9" i="6"/>
  <c r="J10" i="6"/>
  <c r="J11" i="6"/>
  <c r="J12" i="6"/>
  <c r="J3" i="6"/>
  <c r="I13" i="6"/>
  <c r="I12" i="6"/>
  <c r="I4" i="6"/>
  <c r="I5" i="6"/>
  <c r="I6" i="6"/>
  <c r="I7" i="6"/>
  <c r="I8" i="6"/>
  <c r="I9" i="6"/>
  <c r="I10" i="6"/>
  <c r="I11" i="6"/>
  <c r="I3" i="6"/>
  <c r="H13" i="6"/>
  <c r="F19" i="6" s="1"/>
  <c r="H4" i="6"/>
  <c r="H5" i="6"/>
  <c r="H6" i="6"/>
  <c r="H7" i="6"/>
  <c r="H8" i="6"/>
  <c r="H9" i="6"/>
  <c r="H10" i="6"/>
  <c r="H11" i="6"/>
  <c r="H12" i="6"/>
  <c r="H3" i="6"/>
  <c r="G13" i="6"/>
  <c r="G4" i="6"/>
  <c r="G5" i="6"/>
  <c r="G6" i="6"/>
  <c r="G7" i="6"/>
  <c r="G8" i="6"/>
  <c r="G9" i="6"/>
  <c r="G10" i="6"/>
  <c r="G11" i="6"/>
  <c r="G12" i="6"/>
  <c r="G3" i="6"/>
  <c r="F17" i="6" l="1"/>
  <c r="F16" i="6"/>
  <c r="F18" i="6"/>
</calcChain>
</file>

<file path=xl/sharedStrings.xml><?xml version="1.0" encoding="utf-8"?>
<sst xmlns="http://schemas.openxmlformats.org/spreadsheetml/2006/main" count="18" uniqueCount="15">
  <si>
    <t>Medida 1</t>
  </si>
  <si>
    <t>Medida 2</t>
  </si>
  <si>
    <t>Medida 3</t>
  </si>
  <si>
    <t>Medida 4</t>
  </si>
  <si>
    <t>Muestra</t>
  </si>
  <si>
    <t>Media Xi</t>
  </si>
  <si>
    <t>Media Ri</t>
  </si>
  <si>
    <t>A2</t>
  </si>
  <si>
    <t>D4</t>
  </si>
  <si>
    <t>D3</t>
  </si>
  <si>
    <t>LCS(X)</t>
  </si>
  <si>
    <t>LCI(X)</t>
  </si>
  <si>
    <t>LCS®</t>
  </si>
  <si>
    <t>LCS(r)</t>
  </si>
  <si>
    <t>LCI®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</si>
</sst>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242424"/>
      <name val="Segoe UI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center"/>
    </xf>
  </cellStyleXfs>
  <cellXfs count="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2">
    <cellStyle name="Estilo 1" xfId="1" xr:uid="{00000000-0005-0000-0000-000003000000}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9132-5595-48B9-9B91-CC1BDC852632}">
  <dimension ref="B1:L19"/>
  <sheetViews>
    <sheetView tabSelected="1" workbookViewId="0">
      <selection activeCell="F21" sqref="F21"/>
    </sheetView>
  </sheetViews>
  <sheetFormatPr defaultRowHeight="15" x14ac:dyDescent="0.25"/>
  <cols>
    <col min="2" max="2" width="13.42578125" customWidth="1"/>
  </cols>
  <sheetData>
    <row r="1" spans="2:12" x14ac:dyDescent="0.25">
      <c r="G1" t="s">
        <v>5</v>
      </c>
      <c r="H1" t="s">
        <v>6</v>
      </c>
      <c r="I1" t="s">
        <v>10</v>
      </c>
      <c r="J1" t="s">
        <v>11</v>
      </c>
      <c r="K1" t="s">
        <v>12</v>
      </c>
      <c r="L1" t="s">
        <v>12</v>
      </c>
    </row>
    <row r="2" spans="2:12" ht="33" x14ac:dyDescent="0.25">
      <c r="B2" s="1" t="s">
        <v>4</v>
      </c>
      <c r="C2" s="1" t="s">
        <v>0</v>
      </c>
      <c r="D2" s="1" t="s">
        <v>1</v>
      </c>
      <c r="E2" s="1" t="s">
        <v>2</v>
      </c>
      <c r="F2" s="1" t="s">
        <v>3</v>
      </c>
    </row>
    <row r="3" spans="2:12" ht="16.5" x14ac:dyDescent="0.25">
      <c r="B3" s="1">
        <v>1</v>
      </c>
      <c r="C3" s="2">
        <v>4964</v>
      </c>
      <c r="D3" s="2">
        <v>5508</v>
      </c>
      <c r="E3" s="2">
        <v>5168</v>
      </c>
      <c r="F3" s="2">
        <v>5508</v>
      </c>
      <c r="G3">
        <f>AVERAGE(C3:F3)</f>
        <v>5287</v>
      </c>
      <c r="H3">
        <f>MAX(C3:F3)-MIN(C3:F3)</f>
        <v>544</v>
      </c>
      <c r="I3">
        <f>G3+$C$16*H3</f>
        <v>5683.576</v>
      </c>
      <c r="J3">
        <f>G3-$C$16*H3</f>
        <v>4890.424</v>
      </c>
      <c r="K3">
        <f>$C$17*H3</f>
        <v>1241.4079999999999</v>
      </c>
      <c r="L3">
        <f>$C$18*H3</f>
        <v>0</v>
      </c>
    </row>
    <row r="4" spans="2:12" ht="16.5" x14ac:dyDescent="0.25">
      <c r="B4" s="1">
        <v>2</v>
      </c>
      <c r="C4" s="2">
        <v>5100</v>
      </c>
      <c r="D4" s="2">
        <v>5304</v>
      </c>
      <c r="E4" s="2">
        <v>5236</v>
      </c>
      <c r="F4" s="2">
        <v>5440</v>
      </c>
      <c r="G4">
        <f t="shared" ref="G4:G12" si="0">AVERAGE(C4:F4)</f>
        <v>5270</v>
      </c>
      <c r="H4">
        <f>MAX(C4:F4)-MIN(C4:F4)</f>
        <v>340</v>
      </c>
      <c r="I4">
        <f t="shared" ref="I4:I11" si="1">G4+$C$16*H4</f>
        <v>5517.86</v>
      </c>
      <c r="J4">
        <f t="shared" ref="J4:J12" si="2">G4-$C$16*H4</f>
        <v>5022.1400000000003</v>
      </c>
      <c r="K4">
        <f t="shared" ref="K4:K12" si="3">$C$17*H4</f>
        <v>775.88</v>
      </c>
      <c r="L4">
        <f t="shared" ref="L4:L13" si="4">$C$18*H4</f>
        <v>0</v>
      </c>
    </row>
    <row r="5" spans="2:12" ht="16.5" x14ac:dyDescent="0.25">
      <c r="B5" s="1">
        <v>3</v>
      </c>
      <c r="C5" s="2">
        <v>5168</v>
      </c>
      <c r="D5" s="2">
        <v>5304</v>
      </c>
      <c r="E5" s="2">
        <v>5644</v>
      </c>
      <c r="F5" s="2">
        <v>5032</v>
      </c>
      <c r="G5">
        <f t="shared" si="0"/>
        <v>5287</v>
      </c>
      <c r="H5">
        <f>MAX(C5:F5)-MIN(C5:F5)</f>
        <v>612</v>
      </c>
      <c r="I5">
        <f t="shared" si="1"/>
        <v>5733.1480000000001</v>
      </c>
      <c r="J5">
        <f t="shared" si="2"/>
        <v>4840.8519999999999</v>
      </c>
      <c r="K5">
        <f t="shared" si="3"/>
        <v>1396.5840000000001</v>
      </c>
      <c r="L5">
        <f t="shared" si="4"/>
        <v>0</v>
      </c>
    </row>
    <row r="6" spans="2:12" ht="16.5" x14ac:dyDescent="0.25">
      <c r="B6" s="1">
        <v>4</v>
      </c>
      <c r="C6" s="2">
        <v>5100</v>
      </c>
      <c r="D6" s="2">
        <v>5576</v>
      </c>
      <c r="E6" s="2">
        <v>5304</v>
      </c>
      <c r="F6" s="2">
        <v>4964</v>
      </c>
      <c r="G6">
        <f t="shared" si="0"/>
        <v>5236</v>
      </c>
      <c r="H6">
        <f>MAX(C6:F6)-MIN(C6:F6)</f>
        <v>612</v>
      </c>
      <c r="I6">
        <f t="shared" si="1"/>
        <v>5682.1480000000001</v>
      </c>
      <c r="J6">
        <f t="shared" si="2"/>
        <v>4789.8519999999999</v>
      </c>
      <c r="K6">
        <f t="shared" si="3"/>
        <v>1396.5840000000001</v>
      </c>
      <c r="L6">
        <f t="shared" si="4"/>
        <v>0</v>
      </c>
    </row>
    <row r="7" spans="2:12" ht="16.5" x14ac:dyDescent="0.25">
      <c r="B7" s="1">
        <v>5</v>
      </c>
      <c r="C7" s="2">
        <v>5508</v>
      </c>
      <c r="D7" s="2">
        <v>5304</v>
      </c>
      <c r="E7" s="2">
        <v>5236</v>
      </c>
      <c r="F7" s="2">
        <v>5372</v>
      </c>
      <c r="G7">
        <f t="shared" si="0"/>
        <v>5355</v>
      </c>
      <c r="H7">
        <f>MAX(C7:F7)-MIN(C7:F7)</f>
        <v>272</v>
      </c>
      <c r="I7">
        <f t="shared" si="1"/>
        <v>5553.2879999999996</v>
      </c>
      <c r="J7">
        <f t="shared" si="2"/>
        <v>5156.7120000000004</v>
      </c>
      <c r="K7">
        <f t="shared" si="3"/>
        <v>620.70399999999995</v>
      </c>
      <c r="L7">
        <f t="shared" si="4"/>
        <v>0</v>
      </c>
    </row>
    <row r="8" spans="2:12" ht="16.5" x14ac:dyDescent="0.25">
      <c r="B8" s="1">
        <v>6</v>
      </c>
      <c r="C8" s="2">
        <v>5372</v>
      </c>
      <c r="D8" s="2">
        <v>5644</v>
      </c>
      <c r="E8" s="2">
        <v>5236</v>
      </c>
      <c r="F8" s="2">
        <v>5508</v>
      </c>
      <c r="G8">
        <f t="shared" si="0"/>
        <v>5440</v>
      </c>
      <c r="H8">
        <f>MAX(C8:F8)-MIN(C8:F8)</f>
        <v>408</v>
      </c>
      <c r="I8">
        <f t="shared" si="1"/>
        <v>5737.4319999999998</v>
      </c>
      <c r="J8">
        <f t="shared" si="2"/>
        <v>5142.5680000000002</v>
      </c>
      <c r="K8">
        <f t="shared" si="3"/>
        <v>931.05600000000004</v>
      </c>
      <c r="L8">
        <f t="shared" si="4"/>
        <v>0</v>
      </c>
    </row>
    <row r="9" spans="2:12" ht="16.5" x14ac:dyDescent="0.25">
      <c r="B9" s="1">
        <v>7</v>
      </c>
      <c r="C9" s="2">
        <v>5848</v>
      </c>
      <c r="D9" s="2">
        <v>5712</v>
      </c>
      <c r="E9" s="2">
        <v>5780</v>
      </c>
      <c r="F9" s="2">
        <v>5644</v>
      </c>
      <c r="G9">
        <f t="shared" si="0"/>
        <v>5746</v>
      </c>
      <c r="H9">
        <f>MAX(C9:F9)-MIN(C9:F9)</f>
        <v>204</v>
      </c>
      <c r="I9">
        <f t="shared" si="1"/>
        <v>5894.7160000000003</v>
      </c>
      <c r="J9">
        <f t="shared" si="2"/>
        <v>5597.2839999999997</v>
      </c>
      <c r="K9">
        <f t="shared" si="3"/>
        <v>465.52800000000002</v>
      </c>
      <c r="L9">
        <f t="shared" si="4"/>
        <v>0</v>
      </c>
    </row>
    <row r="10" spans="2:12" ht="16.5" x14ac:dyDescent="0.25">
      <c r="B10" s="1">
        <v>8</v>
      </c>
      <c r="C10" s="2">
        <v>5984</v>
      </c>
      <c r="D10" s="2">
        <v>5848</v>
      </c>
      <c r="E10" s="2">
        <v>5712</v>
      </c>
      <c r="F10" s="2">
        <v>5780</v>
      </c>
      <c r="G10">
        <f t="shared" si="0"/>
        <v>5831</v>
      </c>
      <c r="H10">
        <f>MAX(C10:F10)-MIN(C10:F10)</f>
        <v>272</v>
      </c>
      <c r="I10">
        <f t="shared" si="1"/>
        <v>6029.2879999999996</v>
      </c>
      <c r="J10">
        <f t="shared" si="2"/>
        <v>5632.7120000000004</v>
      </c>
      <c r="K10">
        <f t="shared" si="3"/>
        <v>620.70399999999995</v>
      </c>
      <c r="L10">
        <f t="shared" si="4"/>
        <v>0</v>
      </c>
    </row>
    <row r="11" spans="2:12" ht="16.5" x14ac:dyDescent="0.25">
      <c r="B11" s="1">
        <v>9</v>
      </c>
      <c r="C11" s="2">
        <v>5644</v>
      </c>
      <c r="D11" s="2">
        <v>5372</v>
      </c>
      <c r="E11" s="2">
        <v>5508</v>
      </c>
      <c r="F11" s="2">
        <v>5576</v>
      </c>
      <c r="G11">
        <f t="shared" si="0"/>
        <v>5525</v>
      </c>
      <c r="H11">
        <f>MAX(C11:F11)-MIN(C11:F11)</f>
        <v>272</v>
      </c>
      <c r="I11">
        <f t="shared" si="1"/>
        <v>5723.2879999999996</v>
      </c>
      <c r="J11">
        <f t="shared" si="2"/>
        <v>5326.7120000000004</v>
      </c>
      <c r="K11">
        <f t="shared" si="3"/>
        <v>620.70399999999995</v>
      </c>
      <c r="L11">
        <f t="shared" si="4"/>
        <v>0</v>
      </c>
    </row>
    <row r="12" spans="2:12" ht="16.5" x14ac:dyDescent="0.25">
      <c r="B12" s="1">
        <v>10</v>
      </c>
      <c r="C12" s="2">
        <v>5304</v>
      </c>
      <c r="D12" s="2">
        <v>5100</v>
      </c>
      <c r="E12" s="2">
        <v>5372</v>
      </c>
      <c r="F12" s="2">
        <v>5168</v>
      </c>
      <c r="G12">
        <f t="shared" si="0"/>
        <v>5236</v>
      </c>
      <c r="H12">
        <f>MAX(C12:F12)-MIN(C12:F12)</f>
        <v>272</v>
      </c>
      <c r="I12">
        <f>G12+$C$16*H12</f>
        <v>5434.2879999999996</v>
      </c>
      <c r="J12">
        <f t="shared" si="2"/>
        <v>5037.7120000000004</v>
      </c>
      <c r="K12">
        <f t="shared" si="3"/>
        <v>620.70399999999995</v>
      </c>
      <c r="L12">
        <f t="shared" si="4"/>
        <v>0</v>
      </c>
    </row>
    <row r="13" spans="2:12" x14ac:dyDescent="0.25">
      <c r="G13">
        <f>AVERAGE(G3:G12)</f>
        <v>5421.3</v>
      </c>
      <c r="H13">
        <f>AVERAGE(H3:H12)</f>
        <v>380.8</v>
      </c>
      <c r="I13">
        <f>AVERAGE(I3:I12)</f>
        <v>5698.9031999999997</v>
      </c>
      <c r="J13">
        <f>AVERAGE(J3:J12)</f>
        <v>5143.6967999999997</v>
      </c>
      <c r="K13">
        <f>AVERAGE(K3:K12)</f>
        <v>868.98559999999998</v>
      </c>
      <c r="L13">
        <f>AVERAGE(L3:L12)</f>
        <v>0</v>
      </c>
    </row>
    <row r="16" spans="2:12" x14ac:dyDescent="0.25">
      <c r="B16" t="s">
        <v>7</v>
      </c>
      <c r="C16">
        <v>0.72899999999999998</v>
      </c>
      <c r="E16" t="s">
        <v>10</v>
      </c>
      <c r="F16">
        <f>G13+C16*H13</f>
        <v>5698.9032000000007</v>
      </c>
    </row>
    <row r="17" spans="2:6" x14ac:dyDescent="0.25">
      <c r="B17" t="s">
        <v>8</v>
      </c>
      <c r="C17">
        <v>2.282</v>
      </c>
      <c r="E17" t="s">
        <v>11</v>
      </c>
      <c r="F17">
        <f>G13-C16*H13</f>
        <v>5143.6967999999997</v>
      </c>
    </row>
    <row r="18" spans="2:6" x14ac:dyDescent="0.25">
      <c r="B18" t="s">
        <v>9</v>
      </c>
      <c r="C18">
        <v>0</v>
      </c>
      <c r="E18" t="s">
        <v>13</v>
      </c>
      <c r="F18">
        <f>C17*H13</f>
        <v>868.98560000000009</v>
      </c>
    </row>
    <row r="19" spans="2:6" x14ac:dyDescent="0.25">
      <c r="E19" t="s">
        <v>14</v>
      </c>
      <c r="F19">
        <f>C18*H13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SEBASTIAN KALIS</dc:creator>
  <cp:lastModifiedBy>Alexander Kalis</cp:lastModifiedBy>
  <dcterms:created xsi:type="dcterms:W3CDTF">2019-06-01T15:26:34Z</dcterms:created>
  <dcterms:modified xsi:type="dcterms:W3CDTF">2021-06-20T17:47:05Z</dcterms:modified>
</cp:coreProperties>
</file>