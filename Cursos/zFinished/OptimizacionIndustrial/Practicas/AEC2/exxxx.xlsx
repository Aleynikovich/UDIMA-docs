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kukaes-my.sharepoint.com/personal/alexander_kalis_kukarob_es/Documents/UDIMA/OptimizacionIndustrial/Practicas/AEC2/"/>
    </mc:Choice>
  </mc:AlternateContent>
  <xr:revisionPtr revIDLastSave="31" documentId="8_{2044B33E-5D70-4D8A-96EE-30213720B39E}" xr6:coauthVersionLast="47" xr6:coauthVersionMax="47" xr10:uidLastSave="{4B38F154-0EEA-4F53-BFB7-FA83B42DCD01}"/>
  <bookViews>
    <workbookView minimized="1" xWindow="4620" yWindow="1365" windowWidth="21600" windowHeight="11505" activeTab="2" xr2:uid="{00000000-000D-0000-FFFF-FFFF00000000}"/>
  </bookViews>
  <sheets>
    <sheet name="1A" sheetId="1" r:id="rId1"/>
    <sheet name="1B" sheetId="2" r:id="rId2"/>
    <sheet name="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3" l="1"/>
  <c r="H8" i="3"/>
  <c r="H5" i="3"/>
  <c r="G5" i="3" l="1"/>
  <c r="G6" i="3"/>
  <c r="G7" i="3"/>
  <c r="G8" i="3"/>
  <c r="G9" i="3"/>
  <c r="G10" i="3"/>
  <c r="G11" i="3"/>
  <c r="G12" i="3"/>
  <c r="D8" i="1"/>
  <c r="E8" i="1"/>
  <c r="F8" i="1"/>
  <c r="C8" i="1"/>
  <c r="G5" i="1"/>
  <c r="G6" i="1"/>
  <c r="G7" i="1"/>
  <c r="G4" i="1"/>
</calcChain>
</file>

<file path=xl/sharedStrings.xml><?xml version="1.0" encoding="utf-8"?>
<sst xmlns="http://schemas.openxmlformats.org/spreadsheetml/2006/main" count="73" uniqueCount="32">
  <si>
    <t>Estrategias</t>
  </si>
  <si>
    <t>Jugador 2</t>
  </si>
  <si>
    <t>Jugador 1</t>
  </si>
  <si>
    <t>minimax</t>
  </si>
  <si>
    <t>maximin</t>
  </si>
  <si>
    <t>E1</t>
  </si>
  <si>
    <t>E2</t>
  </si>
  <si>
    <t>E3</t>
  </si>
  <si>
    <t>E4</t>
  </si>
  <si>
    <t>(7,0)</t>
  </si>
  <si>
    <t>(10,100)</t>
  </si>
  <si>
    <t>(15,80)</t>
  </si>
  <si>
    <t>(2,3)</t>
  </si>
  <si>
    <t>(0,16)</t>
  </si>
  <si>
    <t>(10,0)</t>
  </si>
  <si>
    <t>(0,15)</t>
  </si>
  <si>
    <t>(0,4)</t>
  </si>
  <si>
    <t>(7,9)</t>
  </si>
  <si>
    <t>(8,0)</t>
  </si>
  <si>
    <t>(11,10)</t>
  </si>
  <si>
    <t>(0,5)</t>
  </si>
  <si>
    <t>(14,20)</t>
  </si>
  <si>
    <t>(2,300)</t>
  </si>
  <si>
    <t>(10,7)</t>
  </si>
  <si>
    <t>(10,6)</t>
  </si>
  <si>
    <t>Rama</t>
  </si>
  <si>
    <t>Valor esperado (eur)</t>
  </si>
  <si>
    <t>%</t>
  </si>
  <si>
    <t>Valor ponderado</t>
  </si>
  <si>
    <t>Total ponderado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</si>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</sst>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0" borderId="7" xfId="0" applyBorder="1" applyAlignment="1">
      <alignment vertical="center"/>
    </xf>
    <xf numFmtId="0" fontId="0" fillId="0" borderId="8" xfId="0" applyBorder="1" applyAlignment="1"/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center" vertical="center"/>
    </xf>
    <xf numFmtId="0" fontId="1" fillId="0" borderId="9" xfId="0" applyFont="1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E52C0-D3DC-4F4B-B225-145F8EB144C4}" name="Table1" displayName="Table1" ref="B4:G16" totalsRowShown="0" headerRowDxfId="7" dataDxfId="6">
  <autoFilter ref="B4:G16" xr:uid="{8DF8754C-9289-4BF1-9DE1-747A00B8B6A9}"/>
  <tableColumns count="6">
    <tableColumn id="1" xr3:uid="{CFADEDCF-D892-48E2-BB7A-68847D6C8EA7}" name="Rama" dataDxfId="5"/>
    <tableColumn id="2" xr3:uid="{81E85578-ACDB-40DA-B130-B5EE999DAF5A}" name="Column1" dataDxfId="4"/>
    <tableColumn id="3" xr3:uid="{0C7A99E8-3A1C-4486-8F60-BFBBEA2CA0AC}" name="Column2" dataDxfId="3"/>
    <tableColumn id="4" xr3:uid="{5C636C40-780E-470A-97E7-6B40E92E389F}" name="Valor esperado (eur)" dataDxfId="2">
      <calculatedColumnFormula>Table1[[#This Row],[Column2]]-Table1[[#This Row],[Column1]]</calculatedColumnFormula>
    </tableColumn>
    <tableColumn id="5" xr3:uid="{437220C2-8A38-4DCC-B502-1C02C6493A54}" name="%" dataDxfId="1">
      <calculatedColumnFormula>0.7*0.9</calculatedColumnFormula>
    </tableColumn>
    <tableColumn id="6" xr3:uid="{D2BF2593-7C49-4068-A985-6B75E87C54E7}" name="Valor ponderado" dataDxfId="0">
      <calculatedColumnFormula>Table1[[#This Row],[Valor esperado (eur)]]*Table1[[#This Row],[%]]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3"/>
  <sheetViews>
    <sheetView zoomScale="130" zoomScaleNormal="130" workbookViewId="0">
      <selection activeCell="G6" sqref="G6"/>
    </sheetView>
  </sheetViews>
  <sheetFormatPr defaultRowHeight="15" x14ac:dyDescent="0.25"/>
  <cols>
    <col min="2" max="2" width="11.5703125" customWidth="1"/>
  </cols>
  <sheetData>
    <row r="2" spans="1:11" x14ac:dyDescent="0.25">
      <c r="C2" s="24" t="s">
        <v>1</v>
      </c>
      <c r="D2" s="24"/>
      <c r="E2" s="24"/>
      <c r="F2" s="24"/>
      <c r="J2" s="24"/>
      <c r="K2" s="24"/>
    </row>
    <row r="3" spans="1:11" ht="15.75" thickBot="1" x14ac:dyDescent="0.3">
      <c r="B3" s="1" t="s">
        <v>0</v>
      </c>
      <c r="C3" s="1">
        <v>1</v>
      </c>
      <c r="D3" s="1">
        <v>2</v>
      </c>
      <c r="E3" s="6">
        <v>3</v>
      </c>
      <c r="F3" s="1">
        <v>4</v>
      </c>
      <c r="G3" s="3" t="s">
        <v>4</v>
      </c>
    </row>
    <row r="4" spans="1:11" ht="15.75" thickBot="1" x14ac:dyDescent="0.3">
      <c r="A4" s="25" t="s">
        <v>2</v>
      </c>
      <c r="B4" s="1">
        <v>1</v>
      </c>
      <c r="C4" s="2">
        <v>5</v>
      </c>
      <c r="D4" s="4">
        <v>5</v>
      </c>
      <c r="E4" s="8">
        <v>-10</v>
      </c>
      <c r="F4" s="5">
        <v>-10</v>
      </c>
      <c r="G4" s="10">
        <f>MIN(C4:F4)</f>
        <v>-10</v>
      </c>
    </row>
    <row r="5" spans="1:11" x14ac:dyDescent="0.25">
      <c r="A5" s="25"/>
      <c r="B5" s="1">
        <v>2</v>
      </c>
      <c r="C5" s="2">
        <v>-20</v>
      </c>
      <c r="D5" s="2">
        <v>0</v>
      </c>
      <c r="E5" s="7">
        <v>-15</v>
      </c>
      <c r="F5" s="2">
        <v>-10</v>
      </c>
      <c r="G5" s="3">
        <f t="shared" ref="G5:G7" si="0">MIN(C5:F5)</f>
        <v>-20</v>
      </c>
    </row>
    <row r="6" spans="1:11" x14ac:dyDescent="0.25">
      <c r="A6" s="25"/>
      <c r="B6" s="1">
        <v>3</v>
      </c>
      <c r="C6" s="2">
        <v>40</v>
      </c>
      <c r="D6" s="2">
        <v>-50</v>
      </c>
      <c r="E6" s="2">
        <v>-25</v>
      </c>
      <c r="F6" s="2">
        <v>-5</v>
      </c>
      <c r="G6" s="3">
        <f t="shared" si="0"/>
        <v>-50</v>
      </c>
    </row>
    <row r="7" spans="1:11" x14ac:dyDescent="0.25">
      <c r="A7" s="25"/>
      <c r="B7" s="1">
        <v>4</v>
      </c>
      <c r="C7" s="2">
        <v>-40</v>
      </c>
      <c r="D7" s="2">
        <v>5</v>
      </c>
      <c r="E7" s="2">
        <v>-15</v>
      </c>
      <c r="F7" s="2">
        <v>25</v>
      </c>
      <c r="G7" s="3">
        <f t="shared" si="0"/>
        <v>-40</v>
      </c>
    </row>
    <row r="8" spans="1:11" x14ac:dyDescent="0.25">
      <c r="B8" s="2" t="s">
        <v>3</v>
      </c>
      <c r="C8" s="2">
        <f>MAX(C4:C7)</f>
        <v>40</v>
      </c>
      <c r="D8" s="2">
        <f t="shared" ref="D8:F8" si="1">MAX(D4:D7)</f>
        <v>5</v>
      </c>
      <c r="E8" s="9">
        <f t="shared" si="1"/>
        <v>-10</v>
      </c>
      <c r="F8" s="2">
        <f t="shared" si="1"/>
        <v>25</v>
      </c>
      <c r="G8" s="3"/>
    </row>
    <row r="11" spans="1:11" x14ac:dyDescent="0.25">
      <c r="C11" s="23" t="s">
        <v>1</v>
      </c>
      <c r="D11" s="23"/>
      <c r="E11" s="23"/>
      <c r="F11" s="15"/>
    </row>
    <row r="12" spans="1:11" x14ac:dyDescent="0.25">
      <c r="B12" s="1" t="s">
        <v>0</v>
      </c>
      <c r="C12" s="1">
        <v>1</v>
      </c>
      <c r="D12" s="1">
        <v>2</v>
      </c>
      <c r="E12" s="1">
        <v>3</v>
      </c>
      <c r="F12" s="12"/>
    </row>
    <row r="13" spans="1:11" x14ac:dyDescent="0.25">
      <c r="A13" s="26" t="s">
        <v>2</v>
      </c>
      <c r="B13" s="1">
        <v>1</v>
      </c>
      <c r="C13" s="2">
        <v>5</v>
      </c>
      <c r="D13" s="2">
        <v>5</v>
      </c>
      <c r="E13" s="2">
        <v>-10</v>
      </c>
    </row>
    <row r="14" spans="1:11" x14ac:dyDescent="0.25">
      <c r="A14" s="26"/>
      <c r="B14" s="1">
        <v>2</v>
      </c>
      <c r="C14" s="2">
        <v>40</v>
      </c>
      <c r="D14" s="2">
        <v>-50</v>
      </c>
      <c r="E14" s="2">
        <v>-25</v>
      </c>
    </row>
    <row r="15" spans="1:11" x14ac:dyDescent="0.25">
      <c r="A15" s="26"/>
      <c r="B15" s="1">
        <v>3</v>
      </c>
      <c r="C15" s="2">
        <v>-40</v>
      </c>
      <c r="D15" s="2">
        <v>5</v>
      </c>
      <c r="E15" s="2">
        <v>-15</v>
      </c>
    </row>
    <row r="16" spans="1:11" x14ac:dyDescent="0.25">
      <c r="A16" s="16"/>
    </row>
    <row r="17" spans="1:5" x14ac:dyDescent="0.25">
      <c r="C17" s="23" t="s">
        <v>1</v>
      </c>
      <c r="D17" s="23"/>
      <c r="E17" s="23"/>
    </row>
    <row r="18" spans="1:5" x14ac:dyDescent="0.25">
      <c r="A18" s="11" t="s">
        <v>2</v>
      </c>
      <c r="B18" s="1" t="s">
        <v>0</v>
      </c>
      <c r="C18" s="1">
        <v>1</v>
      </c>
      <c r="D18" s="1">
        <v>2</v>
      </c>
      <c r="E18" s="1">
        <v>3</v>
      </c>
    </row>
    <row r="19" spans="1:5" x14ac:dyDescent="0.25">
      <c r="A19" s="11"/>
      <c r="B19" s="1">
        <v>1</v>
      </c>
      <c r="C19" s="2">
        <v>5</v>
      </c>
      <c r="D19" s="2">
        <v>5</v>
      </c>
      <c r="E19" s="2">
        <v>-10</v>
      </c>
    </row>
    <row r="20" spans="1:5" x14ac:dyDescent="0.25">
      <c r="A20" s="11"/>
      <c r="B20" s="1">
        <v>2</v>
      </c>
      <c r="C20" s="2">
        <v>40</v>
      </c>
      <c r="D20" s="2">
        <v>-50</v>
      </c>
      <c r="E20" s="2">
        <v>-25</v>
      </c>
    </row>
    <row r="22" spans="1:5" x14ac:dyDescent="0.25">
      <c r="C22" s="23" t="s">
        <v>1</v>
      </c>
      <c r="D22" s="23"/>
      <c r="E22" s="15"/>
    </row>
    <row r="23" spans="1:5" x14ac:dyDescent="0.25">
      <c r="A23" s="11" t="s">
        <v>2</v>
      </c>
      <c r="B23" s="1" t="s">
        <v>0</v>
      </c>
      <c r="C23" s="1">
        <v>2</v>
      </c>
      <c r="D23" s="1">
        <v>3</v>
      </c>
    </row>
    <row r="24" spans="1:5" x14ac:dyDescent="0.25">
      <c r="A24" s="11"/>
      <c r="B24" s="1">
        <v>1</v>
      </c>
      <c r="C24" s="2">
        <v>5</v>
      </c>
      <c r="D24" s="2">
        <v>-10</v>
      </c>
    </row>
    <row r="25" spans="1:5" x14ac:dyDescent="0.25">
      <c r="A25" s="11"/>
      <c r="B25" s="1">
        <v>2</v>
      </c>
      <c r="C25" s="2">
        <v>-50</v>
      </c>
      <c r="D25" s="2">
        <v>-25</v>
      </c>
    </row>
    <row r="27" spans="1:5" x14ac:dyDescent="0.25">
      <c r="C27" s="23" t="s">
        <v>1</v>
      </c>
      <c r="D27" s="23"/>
    </row>
    <row r="28" spans="1:5" x14ac:dyDescent="0.25">
      <c r="B28" s="1" t="s">
        <v>0</v>
      </c>
      <c r="C28" s="1">
        <v>2</v>
      </c>
      <c r="D28" s="1">
        <v>3</v>
      </c>
    </row>
    <row r="29" spans="1:5" x14ac:dyDescent="0.25">
      <c r="A29" s="13" t="s">
        <v>2</v>
      </c>
      <c r="B29" s="1">
        <v>1</v>
      </c>
      <c r="C29" s="2">
        <v>5</v>
      </c>
      <c r="D29" s="2">
        <v>-10</v>
      </c>
    </row>
    <row r="30" spans="1:5" x14ac:dyDescent="0.25">
      <c r="A30" s="16"/>
    </row>
    <row r="31" spans="1:5" x14ac:dyDescent="0.25">
      <c r="C31" s="14" t="s">
        <v>1</v>
      </c>
      <c r="D31" s="15"/>
    </row>
    <row r="32" spans="1:5" x14ac:dyDescent="0.25">
      <c r="B32" s="1" t="s">
        <v>0</v>
      </c>
      <c r="C32" s="1">
        <v>3</v>
      </c>
    </row>
    <row r="33" spans="1:3" x14ac:dyDescent="0.25">
      <c r="A33" s="13" t="s">
        <v>2</v>
      </c>
      <c r="B33" s="1">
        <v>1</v>
      </c>
      <c r="C33" s="2">
        <v>-10</v>
      </c>
    </row>
  </sheetData>
  <mergeCells count="8">
    <mergeCell ref="C27:D27"/>
    <mergeCell ref="C2:F2"/>
    <mergeCell ref="A4:A7"/>
    <mergeCell ref="J2:K2"/>
    <mergeCell ref="A13:A15"/>
    <mergeCell ref="C11:E11"/>
    <mergeCell ref="C17:E17"/>
    <mergeCell ref="C22:D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066F-B4FE-4363-8559-B2620BA580FE}">
  <dimension ref="B2:F17"/>
  <sheetViews>
    <sheetView zoomScale="160" zoomScaleNormal="160" workbookViewId="0">
      <selection activeCell="J11" sqref="J11"/>
    </sheetView>
  </sheetViews>
  <sheetFormatPr defaultRowHeight="15" x14ac:dyDescent="0.25"/>
  <sheetData>
    <row r="2" spans="2:6" x14ac:dyDescent="0.25">
      <c r="B2" s="18"/>
      <c r="C2" s="18" t="s">
        <v>5</v>
      </c>
      <c r="D2" s="18" t="s">
        <v>6</v>
      </c>
      <c r="E2" s="18" t="s">
        <v>7</v>
      </c>
      <c r="F2" s="18" t="s">
        <v>8</v>
      </c>
    </row>
    <row r="3" spans="2:6" x14ac:dyDescent="0.25">
      <c r="B3" s="19" t="s">
        <v>5</v>
      </c>
      <c r="C3" s="19" t="s">
        <v>9</v>
      </c>
      <c r="D3" s="19" t="s">
        <v>10</v>
      </c>
      <c r="E3" s="19" t="s">
        <v>11</v>
      </c>
      <c r="F3" s="19" t="s">
        <v>12</v>
      </c>
    </row>
    <row r="4" spans="2:6" x14ac:dyDescent="0.25">
      <c r="B4" s="20" t="s">
        <v>6</v>
      </c>
      <c r="C4" s="20" t="s">
        <v>13</v>
      </c>
      <c r="D4" s="20" t="s">
        <v>14</v>
      </c>
      <c r="E4" s="20" t="s">
        <v>15</v>
      </c>
      <c r="F4" s="20" t="s">
        <v>16</v>
      </c>
    </row>
    <row r="5" spans="2:6" x14ac:dyDescent="0.25">
      <c r="B5" s="20" t="s">
        <v>7</v>
      </c>
      <c r="C5" s="20" t="s">
        <v>17</v>
      </c>
      <c r="D5" s="20" t="s">
        <v>18</v>
      </c>
      <c r="E5" s="20" t="s">
        <v>19</v>
      </c>
      <c r="F5" s="20" t="s">
        <v>20</v>
      </c>
    </row>
    <row r="6" spans="2:6" x14ac:dyDescent="0.25">
      <c r="B6" s="18" t="s">
        <v>8</v>
      </c>
      <c r="C6" s="18" t="s">
        <v>21</v>
      </c>
      <c r="D6" s="18" t="s">
        <v>22</v>
      </c>
      <c r="E6" s="18" t="s">
        <v>23</v>
      </c>
      <c r="F6" s="18" t="s">
        <v>24</v>
      </c>
    </row>
    <row r="8" spans="2:6" x14ac:dyDescent="0.25">
      <c r="B8" s="18"/>
      <c r="C8" s="20" t="s">
        <v>5</v>
      </c>
      <c r="D8" s="19" t="s">
        <v>6</v>
      </c>
      <c r="E8" s="20" t="s">
        <v>7</v>
      </c>
      <c r="F8" s="20" t="s">
        <v>8</v>
      </c>
    </row>
    <row r="9" spans="2:6" x14ac:dyDescent="0.25">
      <c r="B9" s="18" t="s">
        <v>5</v>
      </c>
      <c r="C9" s="20" t="s">
        <v>9</v>
      </c>
      <c r="D9" s="19" t="s">
        <v>10</v>
      </c>
      <c r="E9" s="20" t="s">
        <v>11</v>
      </c>
      <c r="F9" s="20" t="s">
        <v>12</v>
      </c>
    </row>
    <row r="10" spans="2:6" x14ac:dyDescent="0.25">
      <c r="B10" s="18" t="s">
        <v>8</v>
      </c>
      <c r="C10" s="20" t="s">
        <v>21</v>
      </c>
      <c r="D10" s="19" t="s">
        <v>22</v>
      </c>
      <c r="E10" s="20" t="s">
        <v>23</v>
      </c>
      <c r="F10" s="20" t="s">
        <v>24</v>
      </c>
    </row>
    <row r="12" spans="2:6" x14ac:dyDescent="0.25">
      <c r="B12" s="18"/>
      <c r="C12" s="18" t="s">
        <v>6</v>
      </c>
    </row>
    <row r="13" spans="2:6" x14ac:dyDescent="0.25">
      <c r="B13" s="19" t="s">
        <v>5</v>
      </c>
      <c r="C13" s="19" t="s">
        <v>10</v>
      </c>
    </row>
    <row r="14" spans="2:6" x14ac:dyDescent="0.25">
      <c r="B14" s="20" t="s">
        <v>8</v>
      </c>
      <c r="C14" s="20" t="s">
        <v>22</v>
      </c>
    </row>
    <row r="16" spans="2:6" x14ac:dyDescent="0.25">
      <c r="B16" s="18"/>
      <c r="C16" s="18" t="s">
        <v>6</v>
      </c>
    </row>
    <row r="17" spans="2:3" x14ac:dyDescent="0.25">
      <c r="B17" s="18" t="s">
        <v>5</v>
      </c>
      <c r="C17" s="1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7E34-D916-42CE-A128-1085F226D99D}">
  <dimension ref="B4:H16"/>
  <sheetViews>
    <sheetView tabSelected="1" zoomScale="130" zoomScaleNormal="130" workbookViewId="0">
      <selection activeCell="F11" sqref="F11"/>
    </sheetView>
  </sheetViews>
  <sheetFormatPr defaultRowHeight="15" x14ac:dyDescent="0.25"/>
  <cols>
    <col min="2" max="2" width="11.42578125" customWidth="1"/>
    <col min="3" max="3" width="13.7109375" customWidth="1"/>
    <col min="4" max="4" width="19.85546875" customWidth="1"/>
    <col min="5" max="5" width="23.140625" customWidth="1"/>
    <col min="7" max="7" width="19.7109375" customWidth="1"/>
    <col min="8" max="8" width="15.7109375" customWidth="1"/>
  </cols>
  <sheetData>
    <row r="4" spans="2:8" x14ac:dyDescent="0.25">
      <c r="B4" s="17" t="s">
        <v>25</v>
      </c>
      <c r="C4" s="17" t="s">
        <v>30</v>
      </c>
      <c r="D4" s="17" t="s">
        <v>31</v>
      </c>
      <c r="E4" s="17" t="s">
        <v>26</v>
      </c>
      <c r="F4" s="17" t="s">
        <v>27</v>
      </c>
      <c r="G4" s="17" t="s">
        <v>28</v>
      </c>
      <c r="H4" s="22" t="s">
        <v>29</v>
      </c>
    </row>
    <row r="5" spans="2:8" x14ac:dyDescent="0.25">
      <c r="B5" s="17">
        <v>1</v>
      </c>
      <c r="C5" s="17"/>
      <c r="D5" s="17"/>
      <c r="E5" s="17">
        <v>543</v>
      </c>
      <c r="F5" s="17">
        <v>0.15</v>
      </c>
      <c r="G5" s="17">
        <f>Table1[[#This Row],[Valor esperado (eur)]]*Table1[[#This Row],[%]]</f>
        <v>81.45</v>
      </c>
      <c r="H5" s="28">
        <f>SUM(G5:G7)</f>
        <v>313.95</v>
      </c>
    </row>
    <row r="6" spans="2:8" x14ac:dyDescent="0.25">
      <c r="B6" s="17">
        <v>2</v>
      </c>
      <c r="C6" s="17"/>
      <c r="D6" s="17"/>
      <c r="E6" s="17">
        <v>340</v>
      </c>
      <c r="F6" s="17">
        <v>0.25</v>
      </c>
      <c r="G6" s="17">
        <f>Table1[[#This Row],[Valor esperado (eur)]]*Table1[[#This Row],[%]]</f>
        <v>85</v>
      </c>
      <c r="H6" s="30"/>
    </row>
    <row r="7" spans="2:8" x14ac:dyDescent="0.25">
      <c r="B7" s="17">
        <v>3</v>
      </c>
      <c r="C7" s="17"/>
      <c r="D7" s="17"/>
      <c r="E7" s="17">
        <v>295</v>
      </c>
      <c r="F7" s="17">
        <v>0.5</v>
      </c>
      <c r="G7" s="17">
        <f>Table1[[#This Row],[Valor esperado (eur)]]*Table1[[#This Row],[%]]</f>
        <v>147.5</v>
      </c>
      <c r="H7" s="29"/>
    </row>
    <row r="8" spans="2:8" x14ac:dyDescent="0.25">
      <c r="B8" s="17">
        <v>4</v>
      </c>
      <c r="C8" s="17"/>
      <c r="D8" s="17"/>
      <c r="E8" s="17">
        <v>200</v>
      </c>
      <c r="F8" s="17">
        <v>0.25</v>
      </c>
      <c r="G8" s="17">
        <f>Table1[[#This Row],[Valor esperado (eur)]]*Table1[[#This Row],[%]]</f>
        <v>50</v>
      </c>
      <c r="H8" s="28">
        <f>SUM(G8:G10)</f>
        <v>230</v>
      </c>
    </row>
    <row r="9" spans="2:8" x14ac:dyDescent="0.25">
      <c r="B9" s="17">
        <v>5</v>
      </c>
      <c r="C9" s="17"/>
      <c r="D9" s="21"/>
      <c r="E9" s="17">
        <v>400</v>
      </c>
      <c r="F9" s="17">
        <v>0.35</v>
      </c>
      <c r="G9" s="17">
        <f>Table1[[#This Row],[Valor esperado (eur)]]*Table1[[#This Row],[%]]</f>
        <v>140</v>
      </c>
      <c r="H9" s="30"/>
    </row>
    <row r="10" spans="2:8" x14ac:dyDescent="0.25">
      <c r="B10" s="17">
        <v>6</v>
      </c>
      <c r="C10" s="17"/>
      <c r="D10" s="21"/>
      <c r="E10" s="17">
        <v>100</v>
      </c>
      <c r="F10" s="17">
        <v>0.4</v>
      </c>
      <c r="G10" s="17">
        <f>Table1[[#This Row],[Valor esperado (eur)]]*Table1[[#This Row],[%]]</f>
        <v>40</v>
      </c>
      <c r="H10" s="29"/>
    </row>
    <row r="11" spans="2:8" x14ac:dyDescent="0.25">
      <c r="B11" s="17">
        <v>7</v>
      </c>
      <c r="C11" s="17"/>
      <c r="D11" s="17"/>
      <c r="E11" s="17">
        <v>294</v>
      </c>
      <c r="F11" s="17">
        <v>0.5</v>
      </c>
      <c r="G11" s="17">
        <f>Table1[[#This Row],[Valor esperado (eur)]]*Table1[[#This Row],[%]]</f>
        <v>147</v>
      </c>
      <c r="H11" s="28">
        <f>SUM(G11:G12)</f>
        <v>189.5</v>
      </c>
    </row>
    <row r="12" spans="2:8" x14ac:dyDescent="0.25">
      <c r="B12" s="17">
        <v>8</v>
      </c>
      <c r="C12" s="17"/>
      <c r="D12" s="17"/>
      <c r="E12" s="17">
        <v>85</v>
      </c>
      <c r="F12" s="17">
        <v>0.5</v>
      </c>
      <c r="G12" s="17">
        <f>Table1[[#This Row],[Valor esperado (eur)]]*Table1[[#This Row],[%]]</f>
        <v>42.5</v>
      </c>
      <c r="H12" s="29"/>
    </row>
    <row r="13" spans="2:8" x14ac:dyDescent="0.25">
      <c r="B13" s="17"/>
      <c r="C13" s="17"/>
      <c r="D13" s="21"/>
      <c r="E13" s="17"/>
      <c r="F13" s="17"/>
      <c r="G13" s="17"/>
      <c r="H13" s="27"/>
    </row>
    <row r="14" spans="2:8" x14ac:dyDescent="0.25">
      <c r="B14" s="17"/>
      <c r="C14" s="17"/>
      <c r="D14" s="21"/>
      <c r="E14" s="17"/>
      <c r="F14" s="17"/>
      <c r="G14" s="17"/>
      <c r="H14" s="27"/>
    </row>
    <row r="15" spans="2:8" x14ac:dyDescent="0.25">
      <c r="B15" s="17"/>
      <c r="C15" s="17"/>
      <c r="D15" s="21"/>
      <c r="E15" s="17"/>
      <c r="F15" s="17"/>
      <c r="G15" s="17"/>
      <c r="H15" s="27"/>
    </row>
    <row r="16" spans="2:8" x14ac:dyDescent="0.25">
      <c r="B16" s="17"/>
      <c r="C16" s="17"/>
      <c r="D16" s="21"/>
      <c r="E16" s="17"/>
      <c r="F16" s="17"/>
      <c r="G16" s="17"/>
      <c r="H16" s="27"/>
    </row>
  </sheetData>
  <mergeCells count="3">
    <mergeCell ref="H11:H12"/>
    <mergeCell ref="H8:H10"/>
    <mergeCell ref="H5:H7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1A</vt:lpstr>
      <vt:lpstr>1B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Alexander Kalis</cp:lastModifiedBy>
  <cp:lastPrinted>2021-05-04T17:35:47Z</cp:lastPrinted>
  <dcterms:created xsi:type="dcterms:W3CDTF">2015-06-05T18:17:20Z</dcterms:created>
  <dcterms:modified xsi:type="dcterms:W3CDTF">2021-06-26T07:34:25Z</dcterms:modified>
</cp:coreProperties>
</file>