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OptimizacionIndustrial/Practicas/AA2/"/>
    </mc:Choice>
  </mc:AlternateContent>
  <xr:revisionPtr revIDLastSave="106" documentId="11_F25DC773A252ABDACC104854191A694E5BDE58E0" xr6:coauthVersionLast="46" xr6:coauthVersionMax="46" xr10:uidLastSave="{8344FD86-239C-436F-B39A-0748D35DEDEF}"/>
  <bookViews>
    <workbookView xWindow="41172" yWindow="4620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9" i="1"/>
  <c r="E27" i="1"/>
  <c r="D30" i="1"/>
  <c r="C30" i="1"/>
  <c r="B30" i="1"/>
  <c r="D28" i="1"/>
  <c r="D29" i="1"/>
  <c r="C28" i="1"/>
  <c r="C29" i="1"/>
  <c r="B28" i="1"/>
  <c r="B29" i="1"/>
  <c r="D27" i="1"/>
  <c r="C27" i="1"/>
  <c r="B27" i="1"/>
  <c r="D22" i="1"/>
  <c r="D24" i="1" s="1"/>
  <c r="G21" i="1" s="1"/>
  <c r="D21" i="1"/>
  <c r="B22" i="1"/>
  <c r="B24" i="1"/>
  <c r="G23" i="1"/>
  <c r="F23" i="1"/>
  <c r="E23" i="1"/>
  <c r="H23" i="1" s="1"/>
  <c r="F22" i="1"/>
  <c r="E22" i="1"/>
  <c r="E21" i="1"/>
  <c r="C24" i="1"/>
  <c r="F21" i="1" s="1"/>
  <c r="D16" i="1"/>
  <c r="D15" i="1"/>
  <c r="D18" i="1" s="1"/>
  <c r="G15" i="1" s="1"/>
  <c r="C15" i="1"/>
  <c r="C18" i="1" s="1"/>
  <c r="F15" i="1" s="1"/>
  <c r="H17" i="1"/>
  <c r="G17" i="1"/>
  <c r="F17" i="1"/>
  <c r="E17" i="1"/>
  <c r="F16" i="1"/>
  <c r="G16" i="1"/>
  <c r="E16" i="1"/>
  <c r="H16" i="1" s="1"/>
  <c r="E15" i="1"/>
  <c r="D10" i="1"/>
  <c r="G10" i="1" s="1"/>
  <c r="D9" i="1"/>
  <c r="B10" i="1"/>
  <c r="G11" i="1"/>
  <c r="F11" i="1"/>
  <c r="E11" i="1"/>
  <c r="H11" i="1" s="1"/>
  <c r="F10" i="1"/>
  <c r="E10" i="1"/>
  <c r="E9" i="1"/>
  <c r="C12" i="1"/>
  <c r="F9" i="1" s="1"/>
  <c r="H4" i="1"/>
  <c r="H5" i="1"/>
  <c r="H3" i="1"/>
  <c r="F5" i="1"/>
  <c r="G5" i="1"/>
  <c r="G4" i="1"/>
  <c r="F4" i="1"/>
  <c r="E4" i="1"/>
  <c r="E5" i="1"/>
  <c r="E3" i="1"/>
  <c r="F3" i="1"/>
  <c r="G3" i="1"/>
  <c r="D6" i="1"/>
  <c r="C6" i="1"/>
  <c r="B6" i="1"/>
  <c r="C5" i="1"/>
  <c r="B5" i="1"/>
  <c r="C3" i="1"/>
  <c r="G22" i="1" l="1"/>
  <c r="H21" i="1"/>
  <c r="H22" i="1"/>
  <c r="H15" i="1"/>
  <c r="B18" i="1"/>
  <c r="H10" i="1"/>
  <c r="D12" i="1"/>
  <c r="G9" i="1" s="1"/>
  <c r="H9" i="1"/>
  <c r="B12" i="1"/>
</calcChain>
</file>

<file path=xl/sharedStrings.xml><?xml version="1.0" encoding="utf-8"?>
<sst xmlns="http://schemas.openxmlformats.org/spreadsheetml/2006/main" count="44" uniqueCount="14">
  <si>
    <t>opcion 1</t>
  </si>
  <si>
    <t>opcion 2</t>
  </si>
  <si>
    <t>opcion3</t>
  </si>
  <si>
    <t>norm</t>
  </si>
  <si>
    <t>prom</t>
  </si>
  <si>
    <t>o1</t>
  </si>
  <si>
    <t>o2</t>
  </si>
  <si>
    <t>o3</t>
  </si>
  <si>
    <t>sum</t>
  </si>
  <si>
    <t>p</t>
  </si>
  <si>
    <t>a</t>
  </si>
  <si>
    <t>n</t>
  </si>
  <si>
    <t>pond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</si>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</sst>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"/>
  <sheetViews>
    <sheetView tabSelected="1" topLeftCell="A16" zoomScale="145" zoomScaleNormal="145" workbookViewId="0">
      <selection activeCell="E27" sqref="E27:E29"/>
    </sheetView>
  </sheetViews>
  <sheetFormatPr defaultRowHeight="14.4" x14ac:dyDescent="0.3"/>
  <sheetData>
    <row r="2" spans="1:8" x14ac:dyDescent="0.3">
      <c r="B2" t="s">
        <v>0</v>
      </c>
      <c r="C2" t="s">
        <v>1</v>
      </c>
      <c r="D2" t="s">
        <v>2</v>
      </c>
      <c r="E2" s="1" t="s">
        <v>3</v>
      </c>
      <c r="F2" s="1"/>
      <c r="G2" s="1"/>
      <c r="H2" t="s">
        <v>4</v>
      </c>
    </row>
    <row r="3" spans="1:8" x14ac:dyDescent="0.3">
      <c r="A3" t="s">
        <v>5</v>
      </c>
      <c r="B3" s="2">
        <v>1</v>
      </c>
      <c r="C3" s="2">
        <f>1/B4</f>
        <v>0.33333333333333331</v>
      </c>
      <c r="D3" s="2">
        <v>7</v>
      </c>
      <c r="E3" s="2">
        <f>B3/B$6</f>
        <v>0.24137931034482757</v>
      </c>
      <c r="F3" s="2">
        <f t="shared" ref="F3:G3" si="0">C3/C6</f>
        <v>0.23076923076923075</v>
      </c>
      <c r="G3" s="2">
        <f t="shared" si="0"/>
        <v>0.41176470588235292</v>
      </c>
      <c r="H3" s="2">
        <f>MEDIAN(E3:G3)</f>
        <v>0.24137931034482757</v>
      </c>
    </row>
    <row r="4" spans="1:8" x14ac:dyDescent="0.3">
      <c r="A4" t="s">
        <v>6</v>
      </c>
      <c r="B4" s="2">
        <v>3</v>
      </c>
      <c r="C4" s="2">
        <v>1</v>
      </c>
      <c r="D4" s="2">
        <v>9</v>
      </c>
      <c r="E4" s="2">
        <f t="shared" ref="E4:G6" si="1">B4/B$6</f>
        <v>0.72413793103448265</v>
      </c>
      <c r="F4" s="2">
        <f t="shared" si="1"/>
        <v>0.69230769230769229</v>
      </c>
      <c r="G4" s="2">
        <f t="shared" si="1"/>
        <v>0.52941176470588236</v>
      </c>
      <c r="H4" s="2">
        <f t="shared" ref="H4:H5" si="2">MEDIAN(E4:G4)</f>
        <v>0.69230769230769229</v>
      </c>
    </row>
    <row r="5" spans="1:8" x14ac:dyDescent="0.3">
      <c r="A5" t="s">
        <v>7</v>
      </c>
      <c r="B5" s="2">
        <f>1/D3</f>
        <v>0.14285714285714285</v>
      </c>
      <c r="C5" s="2">
        <f>1/D4</f>
        <v>0.1111111111111111</v>
      </c>
      <c r="D5" s="2">
        <v>1</v>
      </c>
      <c r="E5" s="2">
        <f t="shared" si="1"/>
        <v>3.4482758620689648E-2</v>
      </c>
      <c r="F5" s="2">
        <f t="shared" ref="F5" si="3">C5/C$6</f>
        <v>7.6923076923076913E-2</v>
      </c>
      <c r="G5" s="2">
        <f t="shared" ref="G5" si="4">D5/D$6</f>
        <v>5.8823529411764705E-2</v>
      </c>
      <c r="H5" s="2">
        <f t="shared" si="2"/>
        <v>5.8823529411764705E-2</v>
      </c>
    </row>
    <row r="6" spans="1:8" x14ac:dyDescent="0.3">
      <c r="A6" t="s">
        <v>8</v>
      </c>
      <c r="B6" s="2">
        <f>SUM(B3:B5)</f>
        <v>4.1428571428571432</v>
      </c>
      <c r="C6" s="2">
        <f>SUM(C3:C5)</f>
        <v>1.4444444444444444</v>
      </c>
      <c r="D6" s="2">
        <f>SUM(D3:D5)</f>
        <v>17</v>
      </c>
      <c r="E6" s="2"/>
      <c r="F6" s="2"/>
      <c r="G6" s="2"/>
      <c r="H6" s="2"/>
    </row>
    <row r="8" spans="1:8" x14ac:dyDescent="0.3">
      <c r="A8" s="3"/>
      <c r="B8" s="3" t="s">
        <v>0</v>
      </c>
      <c r="C8" s="3" t="s">
        <v>1</v>
      </c>
      <c r="D8" s="3" t="s">
        <v>2</v>
      </c>
      <c r="E8" s="4" t="s">
        <v>3</v>
      </c>
      <c r="F8" s="4"/>
      <c r="G8" s="4"/>
      <c r="H8" s="3" t="s">
        <v>4</v>
      </c>
    </row>
    <row r="9" spans="1:8" x14ac:dyDescent="0.3">
      <c r="A9" s="3" t="s">
        <v>5</v>
      </c>
      <c r="B9" s="5">
        <v>1</v>
      </c>
      <c r="C9" s="5">
        <v>5</v>
      </c>
      <c r="D9" s="5">
        <f>1/B11</f>
        <v>0.33333333333333331</v>
      </c>
      <c r="E9" s="5">
        <f>B9/B$6</f>
        <v>0.24137931034482757</v>
      </c>
      <c r="F9" s="5">
        <f t="shared" ref="F9" si="5">C9/C12</f>
        <v>0.38461538461538464</v>
      </c>
      <c r="G9" s="5">
        <f t="shared" ref="G9" si="6">D9/D12</f>
        <v>0.22580645161290319</v>
      </c>
      <c r="H9" s="5">
        <f>MEDIAN(E9:G9)</f>
        <v>0.24137931034482757</v>
      </c>
    </row>
    <row r="10" spans="1:8" x14ac:dyDescent="0.3">
      <c r="A10" s="3" t="s">
        <v>6</v>
      </c>
      <c r="B10" s="5">
        <f>1/C9</f>
        <v>0.2</v>
      </c>
      <c r="C10" s="5">
        <v>1</v>
      </c>
      <c r="D10" s="5">
        <f>1/7</f>
        <v>0.14285714285714285</v>
      </c>
      <c r="E10" s="5">
        <f t="shared" ref="E10:E12" si="7">B10/B$6</f>
        <v>4.8275862068965517E-2</v>
      </c>
      <c r="F10" s="5">
        <f t="shared" ref="F10:F12" si="8">C10/C$6</f>
        <v>0.69230769230769229</v>
      </c>
      <c r="G10" s="5">
        <f t="shared" ref="G10:G12" si="9">D10/D$6</f>
        <v>8.4033613445378148E-3</v>
      </c>
      <c r="H10" s="5">
        <f t="shared" ref="H10:H11" si="10">MEDIAN(E10:G10)</f>
        <v>4.8275862068965517E-2</v>
      </c>
    </row>
    <row r="11" spans="1:8" x14ac:dyDescent="0.3">
      <c r="A11" s="3" t="s">
        <v>7</v>
      </c>
      <c r="B11" s="5">
        <v>3</v>
      </c>
      <c r="C11" s="5">
        <v>7</v>
      </c>
      <c r="D11" s="5">
        <v>1</v>
      </c>
      <c r="E11" s="5">
        <f t="shared" si="7"/>
        <v>0.72413793103448265</v>
      </c>
      <c r="F11" s="5">
        <f t="shared" si="8"/>
        <v>4.8461538461538458</v>
      </c>
      <c r="G11" s="5">
        <f t="shared" si="9"/>
        <v>5.8823529411764705E-2</v>
      </c>
      <c r="H11" s="5">
        <f t="shared" si="10"/>
        <v>0.72413793103448265</v>
      </c>
    </row>
    <row r="12" spans="1:8" x14ac:dyDescent="0.3">
      <c r="A12" s="3" t="s">
        <v>8</v>
      </c>
      <c r="B12" s="5">
        <f>SUM(B9:B11)</f>
        <v>4.2</v>
      </c>
      <c r="C12" s="5">
        <f>SUM(C9:C11)</f>
        <v>13</v>
      </c>
      <c r="D12" s="5">
        <f>SUM(D9:D11)</f>
        <v>1.4761904761904763</v>
      </c>
      <c r="E12" s="5"/>
      <c r="F12" s="5"/>
      <c r="G12" s="5"/>
      <c r="H12" s="5"/>
    </row>
    <row r="14" spans="1:8" x14ac:dyDescent="0.3">
      <c r="A14" s="3"/>
      <c r="B14" s="3" t="s">
        <v>0</v>
      </c>
      <c r="C14" s="3" t="s">
        <v>1</v>
      </c>
      <c r="D14" s="3" t="s">
        <v>2</v>
      </c>
      <c r="E14" s="4" t="s">
        <v>3</v>
      </c>
      <c r="F14" s="4"/>
      <c r="G14" s="4"/>
      <c r="H14" s="3" t="s">
        <v>4</v>
      </c>
    </row>
    <row r="15" spans="1:8" x14ac:dyDescent="0.3">
      <c r="A15" s="3" t="s">
        <v>5</v>
      </c>
      <c r="B15" s="5">
        <v>1</v>
      </c>
      <c r="C15" s="5">
        <f>1/B16</f>
        <v>0.2</v>
      </c>
      <c r="D15" s="5">
        <f>1/B17</f>
        <v>0.14285714285714285</v>
      </c>
      <c r="E15" s="5">
        <f>B15/B$6</f>
        <v>0.24137931034482757</v>
      </c>
      <c r="F15" s="5">
        <f t="shared" ref="F15" si="11">C15/C18</f>
        <v>3.2258064516129031E-2</v>
      </c>
      <c r="G15" s="5">
        <f t="shared" ref="G15" si="12">D15/D18</f>
        <v>0.10638297872340424</v>
      </c>
      <c r="H15" s="5">
        <f>MEDIAN(E15:G15)</f>
        <v>0.10638297872340424</v>
      </c>
    </row>
    <row r="16" spans="1:8" x14ac:dyDescent="0.3">
      <c r="A16" s="3" t="s">
        <v>6</v>
      </c>
      <c r="B16" s="5">
        <v>5</v>
      </c>
      <c r="C16" s="5">
        <v>1</v>
      </c>
      <c r="D16" s="5">
        <f>1/C17</f>
        <v>0.2</v>
      </c>
      <c r="E16" s="5">
        <f t="shared" ref="E16:E18" si="13">B16/B$6</f>
        <v>1.2068965517241379</v>
      </c>
      <c r="F16" s="5">
        <f t="shared" ref="F16:F18" si="14">C16/C$6</f>
        <v>0.69230769230769229</v>
      </c>
      <c r="G16" s="5">
        <f t="shared" ref="G16:G18" si="15">D16/D$6</f>
        <v>1.1764705882352941E-2</v>
      </c>
      <c r="H16" s="5">
        <f t="shared" ref="H16:H17" si="16">MEDIAN(E16:G16)</f>
        <v>0.69230769230769229</v>
      </c>
    </row>
    <row r="17" spans="1:8" x14ac:dyDescent="0.3">
      <c r="A17" s="3" t="s">
        <v>7</v>
      </c>
      <c r="B17" s="5">
        <v>7</v>
      </c>
      <c r="C17" s="5">
        <v>5</v>
      </c>
      <c r="D17" s="5">
        <v>1</v>
      </c>
      <c r="E17" s="5">
        <f t="shared" si="13"/>
        <v>1.6896551724137929</v>
      </c>
      <c r="F17" s="5">
        <f t="shared" si="14"/>
        <v>3.4615384615384617</v>
      </c>
      <c r="G17" s="5">
        <f t="shared" si="15"/>
        <v>5.8823529411764705E-2</v>
      </c>
      <c r="H17" s="5">
        <f t="shared" si="16"/>
        <v>1.6896551724137929</v>
      </c>
    </row>
    <row r="18" spans="1:8" x14ac:dyDescent="0.3">
      <c r="A18" s="3" t="s">
        <v>8</v>
      </c>
      <c r="B18" s="5">
        <f>SUM(B15:B17)</f>
        <v>13</v>
      </c>
      <c r="C18" s="5">
        <f>SUM(C15:C17)</f>
        <v>6.2</v>
      </c>
      <c r="D18" s="5">
        <f>SUM(D15:D17)</f>
        <v>1.342857142857143</v>
      </c>
      <c r="E18" s="5"/>
      <c r="F18" s="5"/>
      <c r="G18" s="5"/>
      <c r="H18" s="5"/>
    </row>
    <row r="20" spans="1:8" x14ac:dyDescent="0.3">
      <c r="A20" s="3"/>
      <c r="B20" s="3" t="s">
        <v>9</v>
      </c>
      <c r="C20" s="3" t="s">
        <v>10</v>
      </c>
      <c r="D20" s="3" t="s">
        <v>11</v>
      </c>
      <c r="E20" s="4" t="s">
        <v>3</v>
      </c>
      <c r="F20" s="4"/>
      <c r="G20" s="4"/>
      <c r="H20" s="3" t="s">
        <v>4</v>
      </c>
    </row>
    <row r="21" spans="1:8" x14ac:dyDescent="0.3">
      <c r="A21" s="3" t="s">
        <v>9</v>
      </c>
      <c r="B21" s="5">
        <v>1</v>
      </c>
      <c r="C21" s="5">
        <v>5</v>
      </c>
      <c r="D21" s="5">
        <f>1/B23</f>
        <v>0.33333333333333331</v>
      </c>
      <c r="E21" s="5">
        <f>B21/B$6</f>
        <v>0.24137931034482757</v>
      </c>
      <c r="F21" s="5">
        <f t="shared" ref="F21" si="17">C21/C24</f>
        <v>0.33333333333333331</v>
      </c>
      <c r="G21" s="5">
        <f t="shared" ref="G21" si="18">D21/D24</f>
        <v>0.23076923076923075</v>
      </c>
      <c r="H21" s="5">
        <f>MEDIAN(E21:G21)</f>
        <v>0.24137931034482757</v>
      </c>
    </row>
    <row r="22" spans="1:8" x14ac:dyDescent="0.3">
      <c r="A22" s="3" t="s">
        <v>10</v>
      </c>
      <c r="B22" s="5">
        <f>1/5</f>
        <v>0.2</v>
      </c>
      <c r="C22" s="5">
        <v>1</v>
      </c>
      <c r="D22" s="5">
        <f>1/C23</f>
        <v>0.1111111111111111</v>
      </c>
      <c r="E22" s="5">
        <f t="shared" ref="E22:E24" si="19">B22/B$6</f>
        <v>4.8275862068965517E-2</v>
      </c>
      <c r="F22" s="5">
        <f t="shared" ref="F22:F24" si="20">C22/C$6</f>
        <v>0.69230769230769229</v>
      </c>
      <c r="G22" s="5">
        <f t="shared" ref="G22:G24" si="21">D22/D$6</f>
        <v>6.5359477124183E-3</v>
      </c>
      <c r="H22" s="5">
        <f t="shared" ref="H22:H23" si="22">MEDIAN(E22:G22)</f>
        <v>4.8275862068965517E-2</v>
      </c>
    </row>
    <row r="23" spans="1:8" x14ac:dyDescent="0.3">
      <c r="A23" s="3" t="s">
        <v>11</v>
      </c>
      <c r="B23" s="5">
        <v>3</v>
      </c>
      <c r="C23" s="5">
        <v>9</v>
      </c>
      <c r="D23" s="5">
        <v>1</v>
      </c>
      <c r="E23" s="5">
        <f t="shared" si="19"/>
        <v>0.72413793103448265</v>
      </c>
      <c r="F23" s="5">
        <f t="shared" si="20"/>
        <v>6.2307692307692308</v>
      </c>
      <c r="G23" s="5">
        <f t="shared" si="21"/>
        <v>5.8823529411764705E-2</v>
      </c>
      <c r="H23" s="5">
        <f t="shared" si="22"/>
        <v>0.72413793103448265</v>
      </c>
    </row>
    <row r="24" spans="1:8" x14ac:dyDescent="0.3">
      <c r="A24" s="3" t="s">
        <v>8</v>
      </c>
      <c r="B24" s="5">
        <f>SUM(B21:B23)</f>
        <v>4.2</v>
      </c>
      <c r="C24" s="5">
        <f>SUM(C21:C23)</f>
        <v>15</v>
      </c>
      <c r="D24" s="5">
        <f>SUM(D21:D23)</f>
        <v>1.4444444444444444</v>
      </c>
      <c r="E24" s="5"/>
      <c r="F24" s="5"/>
      <c r="G24" s="5"/>
      <c r="H24" s="5"/>
    </row>
    <row r="26" spans="1:8" x14ac:dyDescent="0.3">
      <c r="B26" t="s">
        <v>9</v>
      </c>
      <c r="C26" t="s">
        <v>10</v>
      </c>
      <c r="D26" t="s">
        <v>11</v>
      </c>
      <c r="E26" t="s">
        <v>13</v>
      </c>
    </row>
    <row r="27" spans="1:8" x14ac:dyDescent="0.3">
      <c r="A27" t="s">
        <v>5</v>
      </c>
      <c r="B27" s="2">
        <f>H3</f>
        <v>0.24137931034482757</v>
      </c>
      <c r="C27" s="2">
        <f>H9</f>
        <v>0.24137931034482757</v>
      </c>
      <c r="D27" s="2">
        <f>H15</f>
        <v>0.10638297872340424</v>
      </c>
      <c r="E27" s="2">
        <f>SUMPRODUCT(B27:D27,$B$30:$D$30)</f>
        <v>0.14695271586510483</v>
      </c>
    </row>
    <row r="28" spans="1:8" x14ac:dyDescent="0.3">
      <c r="A28" t="s">
        <v>6</v>
      </c>
      <c r="B28" s="2">
        <f t="shared" ref="B28:B29" si="23">H4</f>
        <v>0.69230769230769229</v>
      </c>
      <c r="C28" s="2">
        <f t="shared" ref="C28:C29" si="24">H10</f>
        <v>4.8275862068965517E-2</v>
      </c>
      <c r="D28" s="2">
        <f t="shared" ref="D28:D29" si="25">H16</f>
        <v>0.69230769230769229</v>
      </c>
      <c r="E28" s="2">
        <f t="shared" ref="E28:E29" si="26">SUMPRODUCT(B28:D28,$B$30:$D$30)</f>
        <v>0.67076557212110122</v>
      </c>
    </row>
    <row r="29" spans="1:8" x14ac:dyDescent="0.3">
      <c r="A29" t="s">
        <v>7</v>
      </c>
      <c r="B29" s="2">
        <f t="shared" si="23"/>
        <v>5.8823529411764705E-2</v>
      </c>
      <c r="C29" s="2">
        <f t="shared" si="24"/>
        <v>0.72413793103448265</v>
      </c>
      <c r="D29" s="2">
        <f t="shared" si="25"/>
        <v>1.6896551724137929</v>
      </c>
      <c r="E29" s="2">
        <f t="shared" si="26"/>
        <v>1.2727005665524231</v>
      </c>
    </row>
    <row r="30" spans="1:8" x14ac:dyDescent="0.3">
      <c r="A30" t="s">
        <v>12</v>
      </c>
      <c r="B30" s="2">
        <f>H21</f>
        <v>0.24137931034482757</v>
      </c>
      <c r="C30" s="2">
        <f>H22</f>
        <v>4.8275862068965517E-2</v>
      </c>
      <c r="D30" s="2">
        <f>H23</f>
        <v>0.72413793103448265</v>
      </c>
    </row>
  </sheetData>
  <mergeCells count="4">
    <mergeCell ref="E2:G2"/>
    <mergeCell ref="E8:G8"/>
    <mergeCell ref="E14:G14"/>
    <mergeCell ref="E20:G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Alexander Kalis</cp:lastModifiedBy>
  <dcterms:created xsi:type="dcterms:W3CDTF">2015-06-05T18:17:20Z</dcterms:created>
  <dcterms:modified xsi:type="dcterms:W3CDTF">2021-05-10T12:59:59Z</dcterms:modified>
</cp:coreProperties>
</file>