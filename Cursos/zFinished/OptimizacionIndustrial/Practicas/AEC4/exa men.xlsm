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 - KUKA Iberia, S.A\UDIMA\OptimizacionIndustrial\Practicas\AEC4\"/>
    </mc:Choice>
  </mc:AlternateContent>
  <xr:revisionPtr revIDLastSave="0" documentId="13_ncr:1_{7AE0972B-F74A-45B9-A493-C4A9847D4798}" xr6:coauthVersionLast="47" xr6:coauthVersionMax="47" xr10:uidLastSave="{00000000-0000-0000-0000-000000000000}"/>
  <bookViews>
    <workbookView xWindow="-120" yWindow="330" windowWidth="29040" windowHeight="15990" activeTab="6" xr2:uid="{7ABF6E32-195B-40C1-9D71-FF9C874D5F95}"/>
  </bookViews>
  <sheets>
    <sheet name="Colas de espera" sheetId="1" r:id="rId1"/>
    <sheet name="Colas de espera v2" sheetId="2" r:id="rId2"/>
    <sheet name="Sheet5" sheetId="5" r:id="rId3"/>
    <sheet name="Sheet3" sheetId="3" r:id="rId4"/>
    <sheet name="Sheet4" sheetId="4" r:id="rId5"/>
    <sheet name="Dominadas" sheetId="6" r:id="rId6"/>
    <sheet name="Maximin minimax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" i="7" l="1"/>
  <c r="J7" i="7"/>
  <c r="H10" i="7"/>
  <c r="G10" i="7"/>
  <c r="F10" i="7"/>
  <c r="E10" i="7"/>
  <c r="I9" i="7"/>
  <c r="I8" i="7"/>
  <c r="I7" i="7"/>
  <c r="I6" i="7"/>
  <c r="E13" i="5" l="1"/>
  <c r="F13" i="5"/>
  <c r="D13" i="5"/>
  <c r="E12" i="5"/>
  <c r="F12" i="5"/>
  <c r="D12" i="5"/>
  <c r="E9" i="5"/>
  <c r="F9" i="5"/>
  <c r="D9" i="5"/>
  <c r="E5" i="4" l="1"/>
  <c r="E7" i="4"/>
  <c r="D22" i="3"/>
  <c r="D23" i="3"/>
  <c r="D24" i="3"/>
  <c r="D21" i="3"/>
  <c r="C21" i="3"/>
  <c r="B21" i="3"/>
  <c r="G15" i="3"/>
  <c r="F15" i="3"/>
  <c r="E15" i="3"/>
  <c r="E16" i="3"/>
  <c r="F16" i="3"/>
  <c r="D17" i="3"/>
  <c r="C17" i="3"/>
  <c r="C16" i="3"/>
  <c r="C9" i="3"/>
  <c r="C3" i="3"/>
  <c r="B6" i="2"/>
  <c r="C6" i="1"/>
  <c r="B7" i="2"/>
  <c r="C7" i="2" s="1"/>
  <c r="D7" i="2" s="1"/>
  <c r="E7" i="2" s="1"/>
  <c r="F7" i="2" s="1"/>
  <c r="G7" i="2" s="1"/>
  <c r="C8" i="1"/>
  <c r="D8" i="1" s="1"/>
  <c r="E8" i="1" s="1"/>
  <c r="F8" i="1" s="1"/>
  <c r="G8" i="1" s="1"/>
  <c r="H8" i="1" s="1"/>
  <c r="D5" i="1"/>
  <c r="E5" i="1"/>
  <c r="F5" i="1"/>
  <c r="G5" i="1"/>
  <c r="H5" i="1"/>
  <c r="C5" i="1"/>
  <c r="C7" i="1" s="1"/>
  <c r="C5" i="2" l="1"/>
  <c r="B8" i="2"/>
  <c r="D6" i="1"/>
  <c r="D7" i="1" s="1"/>
  <c r="C9" i="1"/>
  <c r="C8" i="2" l="1"/>
  <c r="C6" i="2"/>
  <c r="E6" i="1"/>
  <c r="E7" i="1" s="1"/>
  <c r="D9" i="1"/>
  <c r="D5" i="2" l="1"/>
  <c r="D8" i="2" s="1"/>
  <c r="E9" i="1"/>
  <c r="F6" i="1"/>
  <c r="F7" i="1" s="1"/>
  <c r="D6" i="2" l="1"/>
  <c r="G6" i="1"/>
  <c r="F9" i="1"/>
  <c r="E5" i="2" l="1"/>
  <c r="E8" i="2" s="1"/>
  <c r="G7" i="1"/>
  <c r="G9" i="1"/>
  <c r="E6" i="2" l="1"/>
  <c r="H6" i="1"/>
  <c r="H9" i="1" s="1"/>
  <c r="F5" i="2" l="1"/>
  <c r="F8" i="2" s="1"/>
  <c r="H7" i="1"/>
  <c r="F6" i="2" l="1"/>
  <c r="G5" i="2" l="1"/>
  <c r="G8" i="2" s="1"/>
  <c r="G6" i="2" l="1"/>
  <c r="L7" i="1" l="1"/>
</calcChain>
</file>

<file path=xl/sharedStrings.xml><?xml version="1.0" encoding="utf-8"?>
<sst xmlns="http://schemas.openxmlformats.org/spreadsheetml/2006/main" count="57" uniqueCount="37">
  <si>
    <t>Horas</t>
  </si>
  <si>
    <t>Llegadas de clientes</t>
  </si>
  <si>
    <t>Capacidad salidas</t>
  </si>
  <si>
    <t>Salidas de clientes</t>
  </si>
  <si>
    <t>Cola de espera</t>
  </si>
  <si>
    <t>Input</t>
  </si>
  <si>
    <t>Output</t>
  </si>
  <si>
    <t>Capacidad por vagon por hora</t>
  </si>
  <si>
    <t>capacidad</t>
  </si>
  <si>
    <t>crit1</t>
  </si>
  <si>
    <t>prom</t>
  </si>
  <si>
    <t>op1</t>
  </si>
  <si>
    <t>op2</t>
  </si>
  <si>
    <t>op3</t>
  </si>
  <si>
    <t>op4</t>
  </si>
  <si>
    <t>crit2</t>
  </si>
  <si>
    <t>crits</t>
  </si>
  <si>
    <t>suma</t>
  </si>
  <si>
    <t>matriz</t>
  </si>
  <si>
    <t>total</t>
  </si>
  <si>
    <t>Rama</t>
  </si>
  <si>
    <t>Valor Esperado</t>
  </si>
  <si>
    <t>Precio</t>
  </si>
  <si>
    <t>Vida útil</t>
  </si>
  <si>
    <t>Producción / hora</t>
  </si>
  <si>
    <t>OPC. 1</t>
  </si>
  <si>
    <t>OPC. 2</t>
  </si>
  <si>
    <t>OPC. 3</t>
  </si>
  <si>
    <t>OPC. 4</t>
  </si>
  <si>
    <t>min</t>
  </si>
  <si>
    <t>rec</t>
  </si>
  <si>
    <t>Procesadores</t>
  </si>
  <si>
    <t>Jugador 2</t>
  </si>
  <si>
    <t>Estrategias</t>
  </si>
  <si>
    <t>Jugador 1</t>
  </si>
  <si>
    <t>maximin</t>
  </si>
  <si>
    <t>minimax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</si>
</sst>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2"/>
      <color rgb="FF242424"/>
      <name val="Segoe UI"/>
      <family val="2"/>
    </font>
    <font>
      <b/>
      <sz val="12"/>
      <color rgb="FF242424"/>
      <name val="Segoe UI"/>
      <family val="2"/>
    </font>
    <font>
      <sz val="11"/>
      <color rgb="FF242424"/>
      <name val="Segoe UI"/>
      <family val="2"/>
    </font>
    <font>
      <b/>
      <sz val="11"/>
      <color rgb="FF242424"/>
      <name val="Segoe U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AECF0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rgb="FF3C3C3C"/>
      </left>
      <right style="medium">
        <color rgb="FF3C3C3C"/>
      </right>
      <top style="medium">
        <color rgb="FF3C3C3C"/>
      </top>
      <bottom style="medium">
        <color rgb="FF3C3C3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3C3C3C"/>
      </left>
      <right/>
      <top style="medium">
        <color rgb="FF3C3C3C"/>
      </top>
      <bottom style="medium">
        <color rgb="FF3C3C3C"/>
      </bottom>
      <diagonal/>
    </border>
    <border>
      <left style="medium">
        <color rgb="FF3C3C3C"/>
      </left>
      <right style="medium">
        <color rgb="FF3C3C3C"/>
      </right>
      <top style="medium">
        <color rgb="FF3C3C3C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2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4" borderId="3" xfId="0" applyFont="1" applyFill="1" applyBorder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0" fillId="0" borderId="2" xfId="0" applyBorder="1"/>
    <xf numFmtId="0" fontId="0" fillId="0" borderId="5" xfId="0" applyFill="1" applyBorder="1"/>
    <xf numFmtId="164" fontId="0" fillId="0" borderId="0" xfId="0" applyNumberFormat="1"/>
    <xf numFmtId="0" fontId="4" fillId="6" borderId="6" xfId="0" applyFont="1" applyFill="1" applyBorder="1" applyAlignment="1">
      <alignment horizontal="center" wrapText="1"/>
    </xf>
    <xf numFmtId="0" fontId="3" fillId="5" borderId="6" xfId="0" applyFont="1" applyFill="1" applyBorder="1" applyAlignment="1">
      <alignment horizontal="center" wrapText="1"/>
    </xf>
    <xf numFmtId="0" fontId="4" fillId="3" borderId="6" xfId="0" applyFont="1" applyFill="1" applyBorder="1" applyAlignment="1">
      <alignment horizontal="center" wrapText="1"/>
    </xf>
    <xf numFmtId="0" fontId="4" fillId="5" borderId="6" xfId="0" applyFont="1" applyFill="1" applyBorder="1" applyAlignment="1">
      <alignment horizontal="center" wrapText="1"/>
    </xf>
    <xf numFmtId="0" fontId="0" fillId="5" borderId="7" xfId="0" applyFill="1" applyBorder="1"/>
    <xf numFmtId="0" fontId="0" fillId="0" borderId="0" xfId="0" applyAlignment="1">
      <alignment horizontal="center"/>
    </xf>
    <xf numFmtId="0" fontId="0" fillId="7" borderId="2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2" xfId="0" applyFill="1" applyBorder="1"/>
    <xf numFmtId="0" fontId="5" fillId="8" borderId="2" xfId="0" applyFont="1" applyFill="1" applyBorder="1"/>
    <xf numFmtId="0" fontId="5" fillId="8" borderId="2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6868B-C50A-4237-929B-697D6A5220D8}">
  <sheetPr codeName="Sheet1"/>
  <dimension ref="B1:L11"/>
  <sheetViews>
    <sheetView zoomScaleNormal="100" workbookViewId="0">
      <selection activeCell="H5" sqref="H5"/>
    </sheetView>
  </sheetViews>
  <sheetFormatPr defaultRowHeight="15" x14ac:dyDescent="0.25"/>
  <cols>
    <col min="1" max="1" width="5.5703125" customWidth="1"/>
    <col min="2" max="2" width="27.28515625" customWidth="1"/>
    <col min="12" max="12" width="11.7109375" customWidth="1"/>
  </cols>
  <sheetData>
    <row r="1" spans="2:12" ht="15.75" thickBot="1" x14ac:dyDescent="0.3"/>
    <row r="2" spans="2:12" ht="18" thickBot="1" x14ac:dyDescent="0.3">
      <c r="B2" s="1" t="s">
        <v>0</v>
      </c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/>
      <c r="J2" s="2"/>
      <c r="K2" s="2"/>
    </row>
    <row r="3" spans="2:12" ht="18" thickBot="1" x14ac:dyDescent="0.3">
      <c r="B3" s="3" t="s">
        <v>1</v>
      </c>
      <c r="C3" s="4">
        <v>529</v>
      </c>
      <c r="D3" s="4">
        <v>385</v>
      </c>
      <c r="E3" s="4">
        <v>400</v>
      </c>
      <c r="F3" s="4">
        <v>685</v>
      </c>
      <c r="G3" s="4">
        <v>355</v>
      </c>
      <c r="H3" s="4">
        <v>432</v>
      </c>
      <c r="I3" s="4"/>
      <c r="J3" s="4"/>
      <c r="K3" s="4"/>
    </row>
    <row r="4" spans="2:12" ht="18" thickBot="1" x14ac:dyDescent="0.3">
      <c r="B4" s="3" t="s">
        <v>31</v>
      </c>
      <c r="C4" s="8">
        <v>6</v>
      </c>
      <c r="D4" s="8">
        <v>3</v>
      </c>
      <c r="E4" s="8">
        <v>4</v>
      </c>
      <c r="F4" s="8">
        <v>5</v>
      </c>
      <c r="G4" s="8">
        <v>7</v>
      </c>
      <c r="H4" s="8">
        <v>3</v>
      </c>
      <c r="I4" s="8"/>
      <c r="J4" s="8"/>
      <c r="K4" s="8"/>
    </row>
    <row r="5" spans="2:12" ht="18" thickBot="1" x14ac:dyDescent="0.3">
      <c r="B5" s="5" t="s">
        <v>2</v>
      </c>
      <c r="C5" s="9">
        <f>C4*$C$11</f>
        <v>750</v>
      </c>
      <c r="D5" s="9">
        <f t="shared" ref="D5:H5" si="0">D4*$C$11</f>
        <v>375</v>
      </c>
      <c r="E5" s="9">
        <f t="shared" si="0"/>
        <v>500</v>
      </c>
      <c r="F5" s="9">
        <f t="shared" si="0"/>
        <v>625</v>
      </c>
      <c r="G5" s="9">
        <f t="shared" si="0"/>
        <v>875</v>
      </c>
      <c r="H5" s="9">
        <f t="shared" si="0"/>
        <v>375</v>
      </c>
      <c r="I5" s="9"/>
      <c r="J5" s="9"/>
      <c r="K5" s="9"/>
    </row>
    <row r="6" spans="2:12" ht="18" thickBot="1" x14ac:dyDescent="0.3">
      <c r="B6" s="6" t="s">
        <v>3</v>
      </c>
      <c r="C6" s="9">
        <f>C3</f>
        <v>529</v>
      </c>
      <c r="D6" s="9">
        <f>IF(D5&gt;(C7+D3),(C7+D3),D5)</f>
        <v>375</v>
      </c>
      <c r="E6" s="9">
        <f t="shared" ref="E6:H6" si="1">IF(E5&gt;(D7+E3),(D7+E3),E5)</f>
        <v>410</v>
      </c>
      <c r="F6" s="9">
        <f t="shared" si="1"/>
        <v>625</v>
      </c>
      <c r="G6" s="9">
        <f t="shared" si="1"/>
        <v>415</v>
      </c>
      <c r="H6" s="9">
        <f t="shared" si="1"/>
        <v>375</v>
      </c>
      <c r="I6" s="9"/>
      <c r="J6" s="9"/>
      <c r="K6" s="9"/>
    </row>
    <row r="7" spans="2:12" ht="18" thickBot="1" x14ac:dyDescent="0.3">
      <c r="B7" s="5" t="s">
        <v>4</v>
      </c>
      <c r="C7" s="9">
        <f>IF(C3-C6&lt;0,0,C3-C6)</f>
        <v>0</v>
      </c>
      <c r="D7" s="9">
        <f>C7+D3-D6</f>
        <v>10</v>
      </c>
      <c r="E7" s="9">
        <f t="shared" ref="E7:H7" si="2">D7+E3-E6</f>
        <v>0</v>
      </c>
      <c r="F7" s="9">
        <f t="shared" si="2"/>
        <v>60</v>
      </c>
      <c r="G7" s="9">
        <f t="shared" si="2"/>
        <v>0</v>
      </c>
      <c r="H7" s="9">
        <f t="shared" si="2"/>
        <v>57</v>
      </c>
      <c r="I7" s="9"/>
      <c r="J7" s="9"/>
      <c r="K7" s="9"/>
      <c r="L7" s="10">
        <f>SUM(C7:K7)</f>
        <v>127</v>
      </c>
    </row>
    <row r="8" spans="2:12" ht="18" thickBot="1" x14ac:dyDescent="0.3">
      <c r="B8" s="7" t="s">
        <v>5</v>
      </c>
      <c r="C8" s="9">
        <f>C3</f>
        <v>529</v>
      </c>
      <c r="D8" s="9">
        <f>C8+D3</f>
        <v>914</v>
      </c>
      <c r="E8" s="9">
        <f t="shared" ref="E8:H8" si="3">D8+E3</f>
        <v>1314</v>
      </c>
      <c r="F8" s="9">
        <f t="shared" si="3"/>
        <v>1999</v>
      </c>
      <c r="G8" s="9">
        <f t="shared" si="3"/>
        <v>2354</v>
      </c>
      <c r="H8" s="9">
        <f t="shared" si="3"/>
        <v>2786</v>
      </c>
      <c r="I8" s="9"/>
      <c r="J8" s="9"/>
      <c r="K8" s="9"/>
    </row>
    <row r="9" spans="2:12" ht="18" thickBot="1" x14ac:dyDescent="0.3">
      <c r="B9" s="7" t="s">
        <v>6</v>
      </c>
      <c r="C9" s="9">
        <f>C6</f>
        <v>529</v>
      </c>
      <c r="D9" s="9">
        <f>C9+D6</f>
        <v>904</v>
      </c>
      <c r="E9" s="9">
        <f t="shared" ref="E9:H9" si="4">D9+E6</f>
        <v>1314</v>
      </c>
      <c r="F9" s="9">
        <f t="shared" si="4"/>
        <v>1939</v>
      </c>
      <c r="G9" s="9">
        <f t="shared" si="4"/>
        <v>2354</v>
      </c>
      <c r="H9" s="9">
        <f t="shared" si="4"/>
        <v>2729</v>
      </c>
      <c r="I9" s="9"/>
      <c r="J9" s="9"/>
      <c r="K9" s="9"/>
    </row>
    <row r="11" spans="2:12" x14ac:dyDescent="0.25">
      <c r="B11" t="s">
        <v>7</v>
      </c>
      <c r="C11">
        <v>125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90809-C9C0-4C09-8221-71E401A18F79}">
  <dimension ref="A1:G11"/>
  <sheetViews>
    <sheetView workbookViewId="0">
      <selection activeCell="K8" sqref="K8"/>
    </sheetView>
  </sheetViews>
  <sheetFormatPr defaultRowHeight="15" x14ac:dyDescent="0.25"/>
  <cols>
    <col min="1" max="1" width="33.28515625" customWidth="1"/>
  </cols>
  <sheetData>
    <row r="1" spans="1:7" ht="15.75" thickBot="1" x14ac:dyDescent="0.3"/>
    <row r="2" spans="1:7" ht="18" thickBot="1" x14ac:dyDescent="0.3">
      <c r="A2" s="1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</row>
    <row r="3" spans="1:7" ht="18" thickBot="1" x14ac:dyDescent="0.3">
      <c r="A3" s="3" t="s">
        <v>1</v>
      </c>
      <c r="B3" s="4">
        <v>529</v>
      </c>
      <c r="C3" s="4">
        <v>385</v>
      </c>
      <c r="D3" s="4">
        <v>400</v>
      </c>
      <c r="E3" s="4">
        <v>685</v>
      </c>
      <c r="F3" s="4">
        <v>355</v>
      </c>
      <c r="G3" s="4">
        <v>432</v>
      </c>
    </row>
    <row r="4" spans="1:7" ht="18" thickBot="1" x14ac:dyDescent="0.3">
      <c r="A4" s="5" t="s">
        <v>2</v>
      </c>
      <c r="B4" s="9">
        <v>300</v>
      </c>
      <c r="C4" s="9">
        <v>250</v>
      </c>
      <c r="D4" s="9">
        <v>250</v>
      </c>
      <c r="E4" s="9">
        <v>250</v>
      </c>
      <c r="F4" s="9">
        <v>200</v>
      </c>
      <c r="G4" s="9">
        <v>150</v>
      </c>
    </row>
    <row r="5" spans="1:7" ht="18" thickBot="1" x14ac:dyDescent="0.3">
      <c r="A5" s="6" t="s">
        <v>3</v>
      </c>
      <c r="B5" s="9">
        <v>250</v>
      </c>
      <c r="C5" s="9">
        <f>IF(C4&gt;(B6+C3),(B6+C3),C4)</f>
        <v>250</v>
      </c>
      <c r="D5" s="9">
        <f>IF(D4&gt;(C6+D3),(C6+D3),D4)</f>
        <v>250</v>
      </c>
      <c r="E5" s="9">
        <f>IF(E4&gt;(D6+E3),(D6+E3),E4)</f>
        <v>250</v>
      </c>
      <c r="F5" s="9">
        <f>IF(F4&gt;(E6+F3),(E6+F3),F4)</f>
        <v>200</v>
      </c>
      <c r="G5" s="9">
        <f>IF(G4&gt;(F6+G3),(F6+G3),G4)</f>
        <v>150</v>
      </c>
    </row>
    <row r="6" spans="1:7" ht="18" thickBot="1" x14ac:dyDescent="0.3">
      <c r="A6" s="5" t="s">
        <v>4</v>
      </c>
      <c r="B6" s="9">
        <f>IF(B3-B5&lt;0,0,B3-B5)</f>
        <v>279</v>
      </c>
      <c r="C6" s="9">
        <f>B6+C3-C5</f>
        <v>414</v>
      </c>
      <c r="D6" s="9">
        <f>C6+D3-D5</f>
        <v>564</v>
      </c>
      <c r="E6" s="9">
        <f>D6+E3-E5</f>
        <v>999</v>
      </c>
      <c r="F6" s="9">
        <f>E6+F3-F5</f>
        <v>1154</v>
      </c>
      <c r="G6" s="9">
        <f>F6+G3-G5</f>
        <v>1436</v>
      </c>
    </row>
    <row r="7" spans="1:7" ht="18" thickBot="1" x14ac:dyDescent="0.3">
      <c r="A7" s="7" t="s">
        <v>5</v>
      </c>
      <c r="B7" s="9">
        <f>B3</f>
        <v>529</v>
      </c>
      <c r="C7" s="9">
        <f>B7+C3</f>
        <v>914</v>
      </c>
      <c r="D7" s="9">
        <f>C7+D3</f>
        <v>1314</v>
      </c>
      <c r="E7" s="9">
        <f>D7+E3</f>
        <v>1999</v>
      </c>
      <c r="F7" s="9">
        <f>E7+F3</f>
        <v>2354</v>
      </c>
      <c r="G7" s="9">
        <f>F7+G3</f>
        <v>2786</v>
      </c>
    </row>
    <row r="8" spans="1:7" ht="18" thickBot="1" x14ac:dyDescent="0.3">
      <c r="A8" s="7" t="s">
        <v>6</v>
      </c>
      <c r="B8" s="9">
        <f>B5</f>
        <v>250</v>
      </c>
      <c r="C8" s="9">
        <f>B8+C5</f>
        <v>500</v>
      </c>
      <c r="D8" s="9">
        <f t="shared" ref="D8:G8" si="0">C8+D5</f>
        <v>750</v>
      </c>
      <c r="E8" s="9">
        <f t="shared" si="0"/>
        <v>1000</v>
      </c>
      <c r="F8" s="9">
        <f t="shared" si="0"/>
        <v>1200</v>
      </c>
      <c r="G8" s="9">
        <f t="shared" si="0"/>
        <v>1350</v>
      </c>
    </row>
    <row r="11" spans="1:7" x14ac:dyDescent="0.25">
      <c r="A11" t="s">
        <v>8</v>
      </c>
      <c r="B11">
        <v>125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96ADD-4BCE-4962-B72A-4A44EDD04F33}">
  <dimension ref="C4:F13"/>
  <sheetViews>
    <sheetView workbookViewId="0">
      <selection activeCell="D13" sqref="D13:F13"/>
    </sheetView>
  </sheetViews>
  <sheetFormatPr defaultRowHeight="15" x14ac:dyDescent="0.25"/>
  <sheetData>
    <row r="4" spans="3:6" ht="49.5" x14ac:dyDescent="0.3">
      <c r="C4" s="14" t="s">
        <v>22</v>
      </c>
      <c r="D4" s="14" t="s">
        <v>23</v>
      </c>
      <c r="E4" s="14" t="s">
        <v>24</v>
      </c>
      <c r="F4" s="16"/>
    </row>
    <row r="5" spans="3:6" ht="16.5" x14ac:dyDescent="0.3">
      <c r="C5" s="15" t="s">
        <v>25</v>
      </c>
      <c r="D5" s="13">
        <v>6761</v>
      </c>
      <c r="E5" s="13">
        <v>19</v>
      </c>
      <c r="F5" s="13">
        <v>637</v>
      </c>
    </row>
    <row r="6" spans="3:6" ht="16.5" x14ac:dyDescent="0.3">
      <c r="C6" s="15" t="s">
        <v>26</v>
      </c>
      <c r="D6" s="15">
        <v>5893</v>
      </c>
      <c r="E6" s="15">
        <v>12</v>
      </c>
      <c r="F6" s="15">
        <v>534</v>
      </c>
    </row>
    <row r="7" spans="3:6" ht="16.5" x14ac:dyDescent="0.3">
      <c r="C7" s="15" t="s">
        <v>27</v>
      </c>
      <c r="D7" s="15">
        <v>6425</v>
      </c>
      <c r="E7" s="15">
        <v>15</v>
      </c>
      <c r="F7" s="15">
        <v>820</v>
      </c>
    </row>
    <row r="8" spans="3:6" ht="16.5" x14ac:dyDescent="0.3">
      <c r="C8" s="15" t="s">
        <v>28</v>
      </c>
      <c r="D8" s="15">
        <v>5005</v>
      </c>
      <c r="E8" s="15">
        <v>10</v>
      </c>
      <c r="F8" s="15">
        <v>750</v>
      </c>
    </row>
    <row r="9" spans="3:6" x14ac:dyDescent="0.25">
      <c r="D9">
        <f>MAX(D5:D8)</f>
        <v>6761</v>
      </c>
      <c r="E9">
        <f t="shared" ref="E9:F9" si="0">MAX(E5:E8)</f>
        <v>19</v>
      </c>
      <c r="F9">
        <f t="shared" si="0"/>
        <v>820</v>
      </c>
    </row>
    <row r="12" spans="3:6" x14ac:dyDescent="0.25">
      <c r="C12" t="s">
        <v>29</v>
      </c>
      <c r="D12">
        <f>MIN(D5:D8)</f>
        <v>5005</v>
      </c>
      <c r="E12">
        <f t="shared" ref="E12:F12" si="1">MIN(E5:E8)</f>
        <v>10</v>
      </c>
      <c r="F12">
        <f t="shared" si="1"/>
        <v>534</v>
      </c>
    </row>
    <row r="13" spans="3:6" x14ac:dyDescent="0.25">
      <c r="C13" t="s">
        <v>30</v>
      </c>
      <c r="D13">
        <f>D9-D12</f>
        <v>1756</v>
      </c>
      <c r="E13">
        <f t="shared" ref="E13:F13" si="2">E9-E12</f>
        <v>9</v>
      </c>
      <c r="F13">
        <f t="shared" si="2"/>
        <v>286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F3048-3A5E-4B41-9224-4791AA96A27F}">
  <dimension ref="B2:G25"/>
  <sheetViews>
    <sheetView workbookViewId="0">
      <selection activeCell="D21" sqref="D21:D24"/>
    </sheetView>
  </sheetViews>
  <sheetFormatPr defaultRowHeight="15" x14ac:dyDescent="0.25"/>
  <sheetData>
    <row r="2" spans="2:7" x14ac:dyDescent="0.25">
      <c r="B2" t="s">
        <v>9</v>
      </c>
      <c r="C2" t="s">
        <v>10</v>
      </c>
    </row>
    <row r="3" spans="2:7" x14ac:dyDescent="0.25">
      <c r="B3" t="s">
        <v>11</v>
      </c>
      <c r="C3">
        <f>1-SUM(C4:C6)</f>
        <v>0.372</v>
      </c>
    </row>
    <row r="4" spans="2:7" x14ac:dyDescent="0.25">
      <c r="B4" t="s">
        <v>12</v>
      </c>
      <c r="C4">
        <v>0.13800000000000001</v>
      </c>
    </row>
    <row r="5" spans="2:7" x14ac:dyDescent="0.25">
      <c r="B5" t="s">
        <v>13</v>
      </c>
      <c r="C5">
        <v>0.219</v>
      </c>
    </row>
    <row r="6" spans="2:7" x14ac:dyDescent="0.25">
      <c r="B6" t="s">
        <v>14</v>
      </c>
      <c r="C6">
        <v>0.27100000000000002</v>
      </c>
    </row>
    <row r="8" spans="2:7" x14ac:dyDescent="0.25">
      <c r="B8" t="s">
        <v>15</v>
      </c>
      <c r="C8" t="s">
        <v>10</v>
      </c>
    </row>
    <row r="9" spans="2:7" x14ac:dyDescent="0.25">
      <c r="B9" t="s">
        <v>11</v>
      </c>
      <c r="C9">
        <f>1-SUM(C10:C12)</f>
        <v>0.20799999999999996</v>
      </c>
    </row>
    <row r="10" spans="2:7" x14ac:dyDescent="0.25">
      <c r="B10" t="s">
        <v>12</v>
      </c>
      <c r="C10">
        <v>0.29599999999999999</v>
      </c>
    </row>
    <row r="11" spans="2:7" x14ac:dyDescent="0.25">
      <c r="B11" t="s">
        <v>13</v>
      </c>
      <c r="C11">
        <v>0.184</v>
      </c>
    </row>
    <row r="12" spans="2:7" x14ac:dyDescent="0.25">
      <c r="B12" t="s">
        <v>14</v>
      </c>
      <c r="C12">
        <v>0.312</v>
      </c>
    </row>
    <row r="14" spans="2:7" x14ac:dyDescent="0.25">
      <c r="B14" t="s">
        <v>16</v>
      </c>
      <c r="C14" t="s">
        <v>9</v>
      </c>
      <c r="D14" t="s">
        <v>15</v>
      </c>
      <c r="E14" s="17" t="s">
        <v>18</v>
      </c>
      <c r="F14" s="17"/>
      <c r="G14" t="s">
        <v>10</v>
      </c>
    </row>
    <row r="15" spans="2:7" x14ac:dyDescent="0.25">
      <c r="B15" t="s">
        <v>9</v>
      </c>
      <c r="C15">
        <v>1</v>
      </c>
      <c r="D15">
        <v>9</v>
      </c>
      <c r="E15" s="11">
        <f>C15/C17</f>
        <v>0.89999999999999991</v>
      </c>
      <c r="F15" s="11">
        <f>D15/D17</f>
        <v>0.9</v>
      </c>
      <c r="G15" s="11">
        <f>AVERAGE(E15:F15)</f>
        <v>0.89999999999999991</v>
      </c>
    </row>
    <row r="16" spans="2:7" x14ac:dyDescent="0.25">
      <c r="B16" t="s">
        <v>15</v>
      </c>
      <c r="C16">
        <f>1/D15</f>
        <v>0.1111111111111111</v>
      </c>
      <c r="D16">
        <v>1</v>
      </c>
      <c r="E16" s="11">
        <f>C16/C$17</f>
        <v>9.9999999999999992E-2</v>
      </c>
      <c r="F16" s="11">
        <f>D16/D$17</f>
        <v>0.1</v>
      </c>
      <c r="G16">
        <v>0.1</v>
      </c>
    </row>
    <row r="17" spans="2:4" x14ac:dyDescent="0.25">
      <c r="B17" t="s">
        <v>17</v>
      </c>
      <c r="C17">
        <f>SUM(C15:C16)</f>
        <v>1.1111111111111112</v>
      </c>
      <c r="D17">
        <f>SUM(D15:D16)</f>
        <v>10</v>
      </c>
    </row>
    <row r="20" spans="2:4" x14ac:dyDescent="0.25">
      <c r="D20" t="s">
        <v>19</v>
      </c>
    </row>
    <row r="21" spans="2:4" x14ac:dyDescent="0.25">
      <c r="B21">
        <f>1-SUM(B22:B24)</f>
        <v>0.372</v>
      </c>
      <c r="C21">
        <f>1-SUM(C22:C24)</f>
        <v>0.20799999999999996</v>
      </c>
      <c r="D21">
        <f>SUMPRODUCT(B21:C21,$B$25:$C$25)</f>
        <v>0.35559999999999997</v>
      </c>
    </row>
    <row r="22" spans="2:4" x14ac:dyDescent="0.25">
      <c r="B22">
        <v>0.13800000000000001</v>
      </c>
      <c r="C22">
        <v>0.29599999999999999</v>
      </c>
      <c r="D22">
        <f t="shared" ref="D22:D24" si="0">SUMPRODUCT(B22:C22,$B$25:$C$25)</f>
        <v>0.15380000000000002</v>
      </c>
    </row>
    <row r="23" spans="2:4" x14ac:dyDescent="0.25">
      <c r="B23">
        <v>0.219</v>
      </c>
      <c r="C23">
        <v>0.184</v>
      </c>
      <c r="D23">
        <f t="shared" si="0"/>
        <v>0.2155</v>
      </c>
    </row>
    <row r="24" spans="2:4" x14ac:dyDescent="0.25">
      <c r="B24">
        <v>0.27100000000000002</v>
      </c>
      <c r="C24">
        <v>0.312</v>
      </c>
      <c r="D24">
        <f t="shared" si="0"/>
        <v>0.27510000000000001</v>
      </c>
    </row>
    <row r="25" spans="2:4" x14ac:dyDescent="0.25">
      <c r="B25" s="11">
        <v>0.9</v>
      </c>
      <c r="C25">
        <v>0.1</v>
      </c>
    </row>
  </sheetData>
  <mergeCells count="1">
    <mergeCell ref="E14:F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F90B-CBA2-4A83-A2A6-AD307FEBD21E}">
  <dimension ref="B3:E11"/>
  <sheetViews>
    <sheetView workbookViewId="0">
      <selection activeCell="E5" sqref="E5"/>
    </sheetView>
  </sheetViews>
  <sheetFormatPr defaultRowHeight="15" x14ac:dyDescent="0.25"/>
  <cols>
    <col min="3" max="3" width="21" customWidth="1"/>
  </cols>
  <sheetData>
    <row r="3" spans="2:5" ht="49.5" x14ac:dyDescent="0.3">
      <c r="B3" s="12" t="s">
        <v>20</v>
      </c>
      <c r="C3" s="12" t="s">
        <v>21</v>
      </c>
    </row>
    <row r="4" spans="2:5" ht="16.5" x14ac:dyDescent="0.3">
      <c r="B4" s="13">
        <v>1</v>
      </c>
      <c r="C4" s="13">
        <v>543</v>
      </c>
      <c r="D4">
        <v>0.15</v>
      </c>
    </row>
    <row r="5" spans="2:5" ht="16.5" x14ac:dyDescent="0.3">
      <c r="B5" s="13">
        <v>2</v>
      </c>
      <c r="C5" s="13">
        <v>340</v>
      </c>
      <c r="D5">
        <v>0.35</v>
      </c>
      <c r="E5">
        <f>AVERAGE(C4*D4+C5*D5+C6*D6)</f>
        <v>347.95</v>
      </c>
    </row>
    <row r="6" spans="2:5" ht="16.5" x14ac:dyDescent="0.3">
      <c r="B6" s="13">
        <v>3</v>
      </c>
      <c r="C6" s="13">
        <v>295</v>
      </c>
      <c r="D6">
        <v>0.5</v>
      </c>
    </row>
    <row r="7" spans="2:5" ht="16.5" x14ac:dyDescent="0.3">
      <c r="B7" s="13">
        <v>4</v>
      </c>
      <c r="C7" s="13">
        <v>200</v>
      </c>
      <c r="D7">
        <v>0.25</v>
      </c>
      <c r="E7">
        <f>AVERAGE(C6*D6+C7*D7+C8*D8)</f>
        <v>337.5</v>
      </c>
    </row>
    <row r="8" spans="2:5" ht="16.5" x14ac:dyDescent="0.3">
      <c r="B8" s="13">
        <v>5</v>
      </c>
      <c r="C8" s="13">
        <v>400</v>
      </c>
      <c r="D8">
        <v>0.35</v>
      </c>
    </row>
    <row r="9" spans="2:5" ht="16.5" x14ac:dyDescent="0.3">
      <c r="B9" s="13">
        <v>6</v>
      </c>
      <c r="C9" s="13">
        <v>100</v>
      </c>
      <c r="D9">
        <v>0.4</v>
      </c>
    </row>
    <row r="10" spans="2:5" ht="16.5" x14ac:dyDescent="0.3">
      <c r="B10" s="13">
        <v>7</v>
      </c>
      <c r="C10" s="13">
        <v>294</v>
      </c>
    </row>
    <row r="11" spans="2:5" ht="16.5" x14ac:dyDescent="0.3">
      <c r="B11" s="13">
        <v>8</v>
      </c>
      <c r="C11" s="13">
        <v>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C5B3C-5CBD-4B37-BE9B-11FA87AFAF2A}">
  <dimension ref="B3:G8"/>
  <sheetViews>
    <sheetView zoomScale="145" zoomScaleNormal="145" workbookViewId="0">
      <selection activeCell="D14" sqref="D14"/>
    </sheetView>
  </sheetViews>
  <sheetFormatPr defaultRowHeight="15" x14ac:dyDescent="0.25"/>
  <cols>
    <col min="2" max="2" width="10.5703125" customWidth="1"/>
  </cols>
  <sheetData>
    <row r="3" spans="2:7" x14ac:dyDescent="0.25">
      <c r="D3" s="17" t="s">
        <v>32</v>
      </c>
      <c r="E3" s="17"/>
      <c r="F3" s="17"/>
      <c r="G3" s="17"/>
    </row>
    <row r="4" spans="2:7" x14ac:dyDescent="0.25">
      <c r="C4" s="18" t="s">
        <v>33</v>
      </c>
      <c r="D4" s="18">
        <v>1</v>
      </c>
      <c r="E4" s="18">
        <v>2</v>
      </c>
      <c r="F4" s="19">
        <v>3</v>
      </c>
      <c r="G4" s="18">
        <v>4</v>
      </c>
    </row>
    <row r="5" spans="2:7" x14ac:dyDescent="0.25">
      <c r="B5" s="20" t="s">
        <v>34</v>
      </c>
      <c r="C5" s="18">
        <v>1</v>
      </c>
      <c r="D5" s="21"/>
      <c r="E5" s="22"/>
      <c r="F5" s="21"/>
      <c r="G5" s="23"/>
    </row>
    <row r="6" spans="2:7" x14ac:dyDescent="0.25">
      <c r="B6" s="20"/>
      <c r="C6" s="18">
        <v>2</v>
      </c>
      <c r="D6" s="21"/>
      <c r="E6" s="21"/>
      <c r="F6" s="24"/>
      <c r="G6" s="21"/>
    </row>
    <row r="7" spans="2:7" x14ac:dyDescent="0.25">
      <c r="B7" s="20"/>
      <c r="C7" s="18">
        <v>3</v>
      </c>
      <c r="D7" s="21"/>
      <c r="E7" s="21"/>
      <c r="F7" s="21"/>
      <c r="G7" s="21"/>
    </row>
    <row r="8" spans="2:7" x14ac:dyDescent="0.25">
      <c r="B8" s="20"/>
      <c r="C8" s="18">
        <v>4</v>
      </c>
      <c r="D8" s="21"/>
      <c r="E8" s="21"/>
      <c r="F8" s="21"/>
      <c r="G8" s="21"/>
    </row>
  </sheetData>
  <mergeCells count="2">
    <mergeCell ref="D3:G3"/>
    <mergeCell ref="B5:B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69E0D-9FAD-4C46-A01A-ECC89EFD94FF}">
  <dimension ref="C4:J11"/>
  <sheetViews>
    <sheetView tabSelected="1" zoomScale="130" zoomScaleNormal="130" workbookViewId="0">
      <selection activeCell="F12" sqref="F12"/>
    </sheetView>
  </sheetViews>
  <sheetFormatPr defaultRowHeight="15" x14ac:dyDescent="0.25"/>
  <cols>
    <col min="4" max="4" width="11.85546875" customWidth="1"/>
  </cols>
  <sheetData>
    <row r="4" spans="3:10" x14ac:dyDescent="0.25">
      <c r="E4" s="17" t="s">
        <v>32</v>
      </c>
      <c r="F4" s="17"/>
      <c r="G4" s="17"/>
      <c r="H4" s="17"/>
    </row>
    <row r="5" spans="3:10" x14ac:dyDescent="0.25">
      <c r="D5" s="18" t="s">
        <v>33</v>
      </c>
      <c r="E5" s="18">
        <v>1</v>
      </c>
      <c r="F5" s="18">
        <v>2</v>
      </c>
      <c r="G5" s="19">
        <v>3</v>
      </c>
      <c r="H5" s="18">
        <v>4</v>
      </c>
      <c r="I5" s="25" t="s">
        <v>35</v>
      </c>
    </row>
    <row r="6" spans="3:10" x14ac:dyDescent="0.25">
      <c r="C6" s="20" t="s">
        <v>34</v>
      </c>
      <c r="D6" s="18">
        <v>1</v>
      </c>
      <c r="E6" s="21"/>
      <c r="F6" s="22"/>
      <c r="G6" s="21"/>
      <c r="H6" s="23"/>
      <c r="I6" s="26">
        <f>MIN(E6:H6)</f>
        <v>0</v>
      </c>
    </row>
    <row r="7" spans="3:10" x14ac:dyDescent="0.25">
      <c r="C7" s="20"/>
      <c r="D7" s="18">
        <v>2</v>
      </c>
      <c r="E7" s="21"/>
      <c r="F7" s="21"/>
      <c r="G7" s="24"/>
      <c r="H7" s="21"/>
      <c r="I7" s="25">
        <f t="shared" ref="I7:I9" si="0">MIN(E7:H7)</f>
        <v>0</v>
      </c>
      <c r="J7">
        <f>MAX(I6:I9)</f>
        <v>0</v>
      </c>
    </row>
    <row r="8" spans="3:10" x14ac:dyDescent="0.25">
      <c r="C8" s="20"/>
      <c r="D8" s="18">
        <v>3</v>
      </c>
      <c r="E8" s="21"/>
      <c r="F8" s="21"/>
      <c r="G8" s="21"/>
      <c r="H8" s="21"/>
      <c r="I8" s="25">
        <f t="shared" si="0"/>
        <v>0</v>
      </c>
    </row>
    <row r="9" spans="3:10" x14ac:dyDescent="0.25">
      <c r="C9" s="20"/>
      <c r="D9" s="18">
        <v>4</v>
      </c>
      <c r="E9" s="21"/>
      <c r="F9" s="21"/>
      <c r="G9" s="21"/>
      <c r="H9" s="21"/>
      <c r="I9" s="25">
        <f t="shared" si="0"/>
        <v>0</v>
      </c>
    </row>
    <row r="10" spans="3:10" x14ac:dyDescent="0.25">
      <c r="D10" s="21" t="s">
        <v>36</v>
      </c>
      <c r="E10" s="21">
        <f>MAX(E6:E9)</f>
        <v>0</v>
      </c>
      <c r="F10" s="21">
        <f t="shared" ref="F10:H10" si="1">MAX(F6:F9)</f>
        <v>0</v>
      </c>
      <c r="G10" s="27">
        <f t="shared" si="1"/>
        <v>0</v>
      </c>
      <c r="H10" s="21">
        <f t="shared" si="1"/>
        <v>0</v>
      </c>
      <c r="I10" s="25"/>
    </row>
    <row r="11" spans="3:10" x14ac:dyDescent="0.25">
      <c r="F11">
        <f>MIN(E10:H10)</f>
        <v>0</v>
      </c>
    </row>
  </sheetData>
  <mergeCells count="2">
    <mergeCell ref="E4:H4"/>
    <mergeCell ref="C6:C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Colas de espera</vt:lpstr>
      <vt:lpstr>Colas de espera v2</vt:lpstr>
      <vt:lpstr>Sheet5</vt:lpstr>
      <vt:lpstr>Sheet3</vt:lpstr>
      <vt:lpstr>Sheet4</vt:lpstr>
      <vt:lpstr>Dominadas</vt:lpstr>
      <vt:lpstr>Maximin minimax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XYZ</dc:creator>
  <cp:lastModifiedBy>XYZ</cp:lastModifiedBy>
  <dcterms:created xsi:type="dcterms:W3CDTF">2021-05-12T06:22:06Z</dcterms:created>
  <dcterms:modified xsi:type="dcterms:W3CDTF">2021-09-05T16:00:08Z</dcterms:modified>
</cp:coreProperties>
</file>