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ukaes-my.sharepoint.com/personal/alexander_kalis_kukarob_es/Documents/UDIMA/OptimizacionIndustrial/Practicas/AEC4/"/>
    </mc:Choice>
  </mc:AlternateContent>
  <xr:revisionPtr revIDLastSave="295" documentId="8_{52C487B6-F2BC-4EB0-876F-224232511542}" xr6:coauthVersionLast="47" xr6:coauthVersionMax="47" xr10:uidLastSave="{F0E4DB59-C6E2-49B5-A59D-7CC618937F4C}"/>
  <bookViews>
    <workbookView xWindow="-120" yWindow="330" windowWidth="29040" windowHeight="15990" xr2:uid="{7ABF6E32-195B-40C1-9D71-FF9C874D5F95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C7" i="2" s="1"/>
  <c r="D7" i="2" s="1"/>
  <c r="E7" i="2" s="1"/>
  <c r="F7" i="2" s="1"/>
  <c r="G7" i="2" s="1"/>
  <c r="C8" i="1"/>
  <c r="D8" i="1" s="1"/>
  <c r="E8" i="1" s="1"/>
  <c r="F8" i="1" s="1"/>
  <c r="G8" i="1" s="1"/>
  <c r="H8" i="1" s="1"/>
  <c r="I8" i="1" s="1"/>
  <c r="J8" i="1" s="1"/>
  <c r="K8" i="1" s="1"/>
  <c r="D5" i="1"/>
  <c r="E5" i="1"/>
  <c r="F5" i="1"/>
  <c r="G5" i="1"/>
  <c r="H5" i="1"/>
  <c r="I5" i="1"/>
  <c r="J5" i="1"/>
  <c r="K5" i="1"/>
  <c r="C5" i="1"/>
  <c r="C6" i="1" s="1"/>
  <c r="C7" i="1" s="1"/>
  <c r="B6" i="2" l="1"/>
  <c r="C5" i="2" s="1"/>
  <c r="B8" i="2"/>
  <c r="D6" i="1"/>
  <c r="D7" i="1" s="1"/>
  <c r="C9" i="1"/>
  <c r="C8" i="2" l="1"/>
  <c r="C6" i="2"/>
  <c r="E6" i="1"/>
  <c r="E7" i="1" s="1"/>
  <c r="D9" i="1"/>
  <c r="D5" i="2" l="1"/>
  <c r="D8" i="2" s="1"/>
  <c r="E9" i="1"/>
  <c r="F6" i="1"/>
  <c r="F7" i="1" s="1"/>
  <c r="D6" i="2" l="1"/>
  <c r="G6" i="1"/>
  <c r="F9" i="1"/>
  <c r="E5" i="2" l="1"/>
  <c r="E8" i="2" s="1"/>
  <c r="G7" i="1"/>
  <c r="G9" i="1"/>
  <c r="E6" i="2" l="1"/>
  <c r="H6" i="1"/>
  <c r="H9" i="1" s="1"/>
  <c r="F5" i="2" l="1"/>
  <c r="F8" i="2" s="1"/>
  <c r="H7" i="1"/>
  <c r="F6" i="2" l="1"/>
  <c r="I6" i="1"/>
  <c r="I9" i="1" s="1"/>
  <c r="G5" i="2" l="1"/>
  <c r="G8" i="2" s="1"/>
  <c r="I7" i="1"/>
  <c r="G6" i="2" l="1"/>
  <c r="J6" i="1"/>
  <c r="J9" i="1" s="1"/>
  <c r="J7" i="1" l="1"/>
  <c r="K6" i="1" l="1"/>
  <c r="K9" i="1" s="1"/>
  <c r="K7" i="1" l="1"/>
  <c r="L7" i="1" s="1"/>
</calcChain>
</file>

<file path=xl/sharedStrings.xml><?xml version="1.0" encoding="utf-8"?>
<sst xmlns="http://schemas.openxmlformats.org/spreadsheetml/2006/main" count="26" uniqueCount="19">
  <si>
    <t>Horas</t>
  </si>
  <si>
    <t>11 a 12</t>
  </si>
  <si>
    <t>12 a 13</t>
  </si>
  <si>
    <t>13 a 14</t>
  </si>
  <si>
    <t>14 a 15</t>
  </si>
  <si>
    <t>15 a 16</t>
  </si>
  <si>
    <t>16 a 17</t>
  </si>
  <si>
    <t>17 a 18</t>
  </si>
  <si>
    <t>18 a 19</t>
  </si>
  <si>
    <t>19 a 20</t>
  </si>
  <si>
    <t>Llegadas de clientes</t>
  </si>
  <si>
    <t>Nº Vagones / trayecto</t>
  </si>
  <si>
    <t>Capacidad salidas</t>
  </si>
  <si>
    <t>Salidas de clientes</t>
  </si>
  <si>
    <t>Cola de espera</t>
  </si>
  <si>
    <t>Input</t>
  </si>
  <si>
    <t>Output</t>
  </si>
  <si>
    <t>Capacidad por vagon por hora</t>
  </si>
  <si>
    <t>capacidad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</si>
</sst>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242424"/>
      <name val="Segoe UI"/>
      <family val="2"/>
    </font>
    <font>
      <b/>
      <sz val="12"/>
      <color rgb="FF242424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ECF00"/>
        <bgColor indexed="64"/>
      </patternFill>
    </fill>
  </fills>
  <borders count="6">
    <border>
      <left/>
      <right/>
      <top/>
      <bottom/>
      <diagonal/>
    </border>
    <border>
      <left style="medium">
        <color rgb="FF3C3C3C"/>
      </left>
      <right style="medium">
        <color rgb="FF3C3C3C"/>
      </right>
      <top style="medium">
        <color rgb="FF3C3C3C"/>
      </top>
      <bottom style="medium">
        <color rgb="FF3C3C3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3C3C3C"/>
      </left>
      <right/>
      <top style="medium">
        <color rgb="FF3C3C3C"/>
      </top>
      <bottom style="medium">
        <color rgb="FF3C3C3C"/>
      </bottom>
      <diagonal/>
    </border>
    <border>
      <left style="medium">
        <color rgb="FF3C3C3C"/>
      </left>
      <right style="medium">
        <color rgb="FF3C3C3C"/>
      </right>
      <top style="medium">
        <color rgb="FF3C3C3C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4" borderId="3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2" xfId="0" applyBorder="1"/>
    <xf numFmtId="0" fontId="0" fillId="0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Colas de espera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Sheet1!$C$2:$K$2</c:f>
              <c:strCache>
                <c:ptCount val="9"/>
                <c:pt idx="0">
                  <c:v>11 a 12</c:v>
                </c:pt>
                <c:pt idx="1">
                  <c:v>12 a 13</c:v>
                </c:pt>
                <c:pt idx="2">
                  <c:v>13 a 14</c:v>
                </c:pt>
                <c:pt idx="3">
                  <c:v>14 a 15</c:v>
                </c:pt>
                <c:pt idx="4">
                  <c:v>15 a 16</c:v>
                </c:pt>
                <c:pt idx="5">
                  <c:v>16 a 17</c:v>
                </c:pt>
                <c:pt idx="6">
                  <c:v>17 a 18</c:v>
                </c:pt>
                <c:pt idx="7">
                  <c:v>18 a 19</c:v>
                </c:pt>
                <c:pt idx="8">
                  <c:v>19 a 20</c:v>
                </c:pt>
              </c:strCache>
            </c:strRef>
          </c:cat>
          <c:val>
            <c:numRef>
              <c:f>Sheet1!$C$7:$K$7</c:f>
              <c:numCache>
                <c:formatCode>General</c:formatCode>
                <c:ptCount val="9"/>
                <c:pt idx="0">
                  <c:v>279</c:v>
                </c:pt>
                <c:pt idx="1">
                  <c:v>414</c:v>
                </c:pt>
                <c:pt idx="2">
                  <c:v>564</c:v>
                </c:pt>
                <c:pt idx="3">
                  <c:v>874</c:v>
                </c:pt>
                <c:pt idx="4">
                  <c:v>854</c:v>
                </c:pt>
                <c:pt idx="5">
                  <c:v>1036</c:v>
                </c:pt>
                <c:pt idx="6">
                  <c:v>2386</c:v>
                </c:pt>
                <c:pt idx="7">
                  <c:v>3711</c:v>
                </c:pt>
                <c:pt idx="8">
                  <c:v>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5-4AC2-8FE1-80AC1DC24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764160"/>
        <c:axId val="1949765408"/>
      </c:areaChart>
      <c:catAx>
        <c:axId val="19497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5408"/>
        <c:crosses val="autoZero"/>
        <c:auto val="1"/>
        <c:lblAlgn val="ctr"/>
        <c:lblOffset val="100"/>
        <c:noMultiLvlLbl val="0"/>
      </c:catAx>
      <c:valAx>
        <c:axId val="194976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76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Input-output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Sheet1!$C$2:$K$2</c:f>
              <c:strCache>
                <c:ptCount val="9"/>
                <c:pt idx="0">
                  <c:v>11 a 12</c:v>
                </c:pt>
                <c:pt idx="1">
                  <c:v>12 a 13</c:v>
                </c:pt>
                <c:pt idx="2">
                  <c:v>13 a 14</c:v>
                </c:pt>
                <c:pt idx="3">
                  <c:v>14 a 15</c:v>
                </c:pt>
                <c:pt idx="4">
                  <c:v>15 a 16</c:v>
                </c:pt>
                <c:pt idx="5">
                  <c:v>16 a 17</c:v>
                </c:pt>
                <c:pt idx="6">
                  <c:v>17 a 18</c:v>
                </c:pt>
                <c:pt idx="7">
                  <c:v>18 a 19</c:v>
                </c:pt>
                <c:pt idx="8">
                  <c:v>19 a 20</c:v>
                </c:pt>
              </c:strCache>
            </c:strRef>
          </c:cat>
          <c:val>
            <c:numRef>
              <c:f>Sheet1!$C$8:$K$8</c:f>
              <c:numCache>
                <c:formatCode>General</c:formatCode>
                <c:ptCount val="9"/>
                <c:pt idx="0">
                  <c:v>529</c:v>
                </c:pt>
                <c:pt idx="1">
                  <c:v>914</c:v>
                </c:pt>
                <c:pt idx="2">
                  <c:v>1314</c:v>
                </c:pt>
                <c:pt idx="3">
                  <c:v>1999</c:v>
                </c:pt>
                <c:pt idx="4">
                  <c:v>2354</c:v>
                </c:pt>
                <c:pt idx="5">
                  <c:v>2786</c:v>
                </c:pt>
                <c:pt idx="6">
                  <c:v>4386</c:v>
                </c:pt>
                <c:pt idx="7">
                  <c:v>6086</c:v>
                </c:pt>
                <c:pt idx="8">
                  <c:v>6086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DB-449F-93D9-A5BAF982918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Sheet1!$C$2:$K$2</c:f>
              <c:strCache>
                <c:ptCount val="9"/>
                <c:pt idx="0">
                  <c:v>11 a 12</c:v>
                </c:pt>
                <c:pt idx="1">
                  <c:v>12 a 13</c:v>
                </c:pt>
                <c:pt idx="2">
                  <c:v>13 a 14</c:v>
                </c:pt>
                <c:pt idx="3">
                  <c:v>14 a 15</c:v>
                </c:pt>
                <c:pt idx="4">
                  <c:v>15 a 16</c:v>
                </c:pt>
                <c:pt idx="5">
                  <c:v>16 a 17</c:v>
                </c:pt>
                <c:pt idx="6">
                  <c:v>17 a 18</c:v>
                </c:pt>
                <c:pt idx="7">
                  <c:v>18 a 19</c:v>
                </c:pt>
                <c:pt idx="8">
                  <c:v>19 a 20</c:v>
                </c:pt>
              </c:strCache>
            </c:strRef>
          </c:cat>
          <c:val>
            <c:numRef>
              <c:f>Sheet1!$C$9:$K$9</c:f>
              <c:numCache>
                <c:formatCode>General</c:formatCode>
                <c:ptCount val="9"/>
                <c:pt idx="0">
                  <c:v>250</c:v>
                </c:pt>
                <c:pt idx="1">
                  <c:v>500</c:v>
                </c:pt>
                <c:pt idx="2">
                  <c:v>750</c:v>
                </c:pt>
                <c:pt idx="3">
                  <c:v>1125</c:v>
                </c:pt>
                <c:pt idx="4">
                  <c:v>1500</c:v>
                </c:pt>
                <c:pt idx="5">
                  <c:v>1750</c:v>
                </c:pt>
                <c:pt idx="6">
                  <c:v>2000</c:v>
                </c:pt>
                <c:pt idx="7">
                  <c:v>2375</c:v>
                </c:pt>
                <c:pt idx="8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DB-449F-93D9-A5BAF9829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2700352"/>
        <c:axId val="1812697024"/>
      </c:lineChart>
      <c:catAx>
        <c:axId val="18127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697024"/>
        <c:crosses val="autoZero"/>
        <c:auto val="1"/>
        <c:lblAlgn val="ctr"/>
        <c:lblOffset val="100"/>
        <c:noMultiLvlLbl val="0"/>
      </c:catAx>
      <c:valAx>
        <c:axId val="181269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70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22413</xdr:colOff>
      <xdr:row>12</xdr:row>
      <xdr:rowOff>103094</xdr:rowOff>
    </xdr:from>
    <xdr:to>
      <xdr:col>6</xdr:col>
      <xdr:colOff>291354</xdr:colOff>
      <xdr:row>27</xdr:row>
      <xdr:rowOff>156882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9BE93C-25A6-435B-8DA0-B9F1FBA1F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40342</xdr:colOff>
      <xdr:row>12</xdr:row>
      <xdr:rowOff>121024</xdr:rowOff>
    </xdr:from>
    <xdr:to>
      <xdr:col>11</xdr:col>
      <xdr:colOff>2173942</xdr:colOff>
      <xdr:row>27</xdr:row>
      <xdr:rowOff>174812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38A8A7-B766-4B93-9001-47B5CF9B2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868B-C50A-4237-929B-697D6A5220D8}">
  <sheetPr codeName="Sheet1"/>
  <dimension ref="B1:L11"/>
  <sheetViews>
    <sheetView tabSelected="1" zoomScaleNormal="100" workbookViewId="0">
      <selection activeCell="I3" sqref="I3"/>
    </sheetView>
  </sheetViews>
  <sheetFormatPr defaultRowHeight="15" x14ac:dyDescent="0.25"/>
  <cols>
    <col min="1" max="1" width="5.5703125" customWidth="1"/>
    <col min="2" max="2" width="27.28515625" customWidth="1"/>
    <col min="12" max="12" width="11.7109375" customWidth="1"/>
  </cols>
  <sheetData>
    <row r="1" spans="2:12" ht="15.75" thickBot="1" x14ac:dyDescent="0.3">
      <c r="C1">
        <v>3420</v>
      </c>
      <c r="D1">
        <v>2810</v>
      </c>
      <c r="E1">
        <v>3220</v>
      </c>
    </row>
    <row r="2" spans="2:12" ht="18" thickBot="1" x14ac:dyDescent="0.3">
      <c r="B2" s="1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</row>
    <row r="3" spans="2:12" ht="18" thickBot="1" x14ac:dyDescent="0.3">
      <c r="B3" s="3" t="s">
        <v>10</v>
      </c>
      <c r="C3" s="4">
        <v>529</v>
      </c>
      <c r="D3" s="4">
        <v>385</v>
      </c>
      <c r="E3" s="4">
        <v>400</v>
      </c>
      <c r="F3" s="4">
        <v>685</v>
      </c>
      <c r="G3" s="4">
        <v>355</v>
      </c>
      <c r="H3" s="4">
        <v>432</v>
      </c>
      <c r="I3" s="4">
        <v>1600</v>
      </c>
      <c r="J3" s="4">
        <v>1700</v>
      </c>
      <c r="K3" s="4">
        <v>0</v>
      </c>
    </row>
    <row r="4" spans="2:12" ht="18" thickBot="1" x14ac:dyDescent="0.3">
      <c r="B4" s="3" t="s">
        <v>11</v>
      </c>
      <c r="C4" s="8">
        <v>2</v>
      </c>
      <c r="D4" s="8">
        <v>2</v>
      </c>
      <c r="E4" s="8">
        <v>2</v>
      </c>
      <c r="F4" s="8">
        <v>3</v>
      </c>
      <c r="G4" s="8">
        <v>3</v>
      </c>
      <c r="H4" s="8">
        <v>2</v>
      </c>
      <c r="I4" s="8">
        <v>2</v>
      </c>
      <c r="J4" s="8">
        <v>3</v>
      </c>
      <c r="K4" s="8">
        <v>3</v>
      </c>
    </row>
    <row r="5" spans="2:12" ht="18" thickBot="1" x14ac:dyDescent="0.3">
      <c r="B5" s="5" t="s">
        <v>12</v>
      </c>
      <c r="C5" s="9">
        <f>C4*$C$11</f>
        <v>250</v>
      </c>
      <c r="D5" s="9">
        <f t="shared" ref="D5:K5" si="0">D4*$C$11</f>
        <v>250</v>
      </c>
      <c r="E5" s="9">
        <f t="shared" si="0"/>
        <v>250</v>
      </c>
      <c r="F5" s="9">
        <f t="shared" si="0"/>
        <v>375</v>
      </c>
      <c r="G5" s="9">
        <f t="shared" si="0"/>
        <v>375</v>
      </c>
      <c r="H5" s="9">
        <f t="shared" si="0"/>
        <v>250</v>
      </c>
      <c r="I5" s="9">
        <f t="shared" si="0"/>
        <v>250</v>
      </c>
      <c r="J5" s="9">
        <f t="shared" si="0"/>
        <v>375</v>
      </c>
      <c r="K5" s="9">
        <f t="shared" si="0"/>
        <v>375</v>
      </c>
    </row>
    <row r="6" spans="2:12" ht="18" thickBot="1" x14ac:dyDescent="0.3">
      <c r="B6" s="6" t="s">
        <v>13</v>
      </c>
      <c r="C6" s="9">
        <f>C5</f>
        <v>250</v>
      </c>
      <c r="D6" s="9">
        <f>IF(D5&gt;(C7+D3),(C7+D3),D5)</f>
        <v>250</v>
      </c>
      <c r="E6" s="9">
        <f t="shared" ref="E6:K6" si="1">IF(E5&gt;(D7+E3),(D7+E3),E5)</f>
        <v>250</v>
      </c>
      <c r="F6" s="9">
        <f t="shared" si="1"/>
        <v>375</v>
      </c>
      <c r="G6" s="9">
        <f t="shared" si="1"/>
        <v>375</v>
      </c>
      <c r="H6" s="9">
        <f t="shared" si="1"/>
        <v>250</v>
      </c>
      <c r="I6" s="9">
        <f t="shared" si="1"/>
        <v>250</v>
      </c>
      <c r="J6" s="9">
        <f t="shared" si="1"/>
        <v>375</v>
      </c>
      <c r="K6" s="9">
        <f t="shared" si="1"/>
        <v>375</v>
      </c>
    </row>
    <row r="7" spans="2:12" ht="18" thickBot="1" x14ac:dyDescent="0.3">
      <c r="B7" s="5" t="s">
        <v>14</v>
      </c>
      <c r="C7" s="9">
        <f>IF(C3-C6&lt;0,0,C3-C6)</f>
        <v>279</v>
      </c>
      <c r="D7" s="9">
        <f>C7+D3-D6</f>
        <v>414</v>
      </c>
      <c r="E7" s="9">
        <f t="shared" ref="E7:K7" si="2">D7+E3-E6</f>
        <v>564</v>
      </c>
      <c r="F7" s="9">
        <f t="shared" si="2"/>
        <v>874</v>
      </c>
      <c r="G7" s="9">
        <f t="shared" si="2"/>
        <v>854</v>
      </c>
      <c r="H7" s="9">
        <f t="shared" si="2"/>
        <v>1036</v>
      </c>
      <c r="I7" s="9">
        <f t="shared" si="2"/>
        <v>2386</v>
      </c>
      <c r="J7" s="9">
        <f t="shared" si="2"/>
        <v>3711</v>
      </c>
      <c r="K7" s="9">
        <f t="shared" si="2"/>
        <v>3336</v>
      </c>
      <c r="L7" s="10">
        <f>SUM(C7:K7)</f>
        <v>13454</v>
      </c>
    </row>
    <row r="8" spans="2:12" ht="18" thickBot="1" x14ac:dyDescent="0.3">
      <c r="B8" s="7" t="s">
        <v>15</v>
      </c>
      <c r="C8" s="9">
        <f>C3</f>
        <v>529</v>
      </c>
      <c r="D8" s="9">
        <f>C8+D3</f>
        <v>914</v>
      </c>
      <c r="E8" s="9">
        <f t="shared" ref="E8:K8" si="3">D8+E3</f>
        <v>1314</v>
      </c>
      <c r="F8" s="9">
        <f t="shared" si="3"/>
        <v>1999</v>
      </c>
      <c r="G8" s="9">
        <f t="shared" si="3"/>
        <v>2354</v>
      </c>
      <c r="H8" s="9">
        <f t="shared" si="3"/>
        <v>2786</v>
      </c>
      <c r="I8" s="9">
        <f t="shared" si="3"/>
        <v>4386</v>
      </c>
      <c r="J8" s="9">
        <f t="shared" si="3"/>
        <v>6086</v>
      </c>
      <c r="K8" s="9">
        <f t="shared" si="3"/>
        <v>6086</v>
      </c>
    </row>
    <row r="9" spans="2:12" ht="18" thickBot="1" x14ac:dyDescent="0.3">
      <c r="B9" s="7" t="s">
        <v>16</v>
      </c>
      <c r="C9" s="9">
        <f>C6</f>
        <v>250</v>
      </c>
      <c r="D9" s="9">
        <f>C9+D6</f>
        <v>500</v>
      </c>
      <c r="E9" s="9">
        <f t="shared" ref="E9:K9" si="4">D9+E6</f>
        <v>750</v>
      </c>
      <c r="F9" s="9">
        <f t="shared" si="4"/>
        <v>1125</v>
      </c>
      <c r="G9" s="9">
        <f t="shared" si="4"/>
        <v>1500</v>
      </c>
      <c r="H9" s="9">
        <f t="shared" si="4"/>
        <v>1750</v>
      </c>
      <c r="I9" s="9">
        <f t="shared" si="4"/>
        <v>2000</v>
      </c>
      <c r="J9" s="9">
        <f t="shared" si="4"/>
        <v>2375</v>
      </c>
      <c r="K9" s="9">
        <f t="shared" si="4"/>
        <v>2750</v>
      </c>
    </row>
    <row r="11" spans="2:12" x14ac:dyDescent="0.25">
      <c r="B11" t="s">
        <v>17</v>
      </c>
      <c r="C11">
        <v>125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0809-C9C0-4C09-8221-71E401A18F79}">
  <dimension ref="A1:G11"/>
  <sheetViews>
    <sheetView workbookViewId="0">
      <selection activeCell="B11" sqref="B11"/>
    </sheetView>
  </sheetViews>
  <sheetFormatPr defaultRowHeight="15" x14ac:dyDescent="0.25"/>
  <cols>
    <col min="1" max="1" width="33.28515625" customWidth="1"/>
  </cols>
  <sheetData>
    <row r="1" spans="1:7" ht="15.75" thickBot="1" x14ac:dyDescent="0.3"/>
    <row r="2" spans="1:7" ht="18" thickBot="1" x14ac:dyDescent="0.3">
      <c r="A2" s="1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</row>
    <row r="3" spans="1:7" ht="18" thickBot="1" x14ac:dyDescent="0.3">
      <c r="A3" s="3" t="s">
        <v>10</v>
      </c>
      <c r="B3" s="4">
        <v>529</v>
      </c>
      <c r="C3" s="4">
        <v>385</v>
      </c>
      <c r="D3" s="4">
        <v>400</v>
      </c>
      <c r="E3" s="4">
        <v>685</v>
      </c>
      <c r="F3" s="4">
        <v>355</v>
      </c>
      <c r="G3" s="4">
        <v>432</v>
      </c>
    </row>
    <row r="4" spans="1:7" ht="18" thickBot="1" x14ac:dyDescent="0.3">
      <c r="A4" s="5" t="s">
        <v>12</v>
      </c>
      <c r="B4" s="9">
        <v>300</v>
      </c>
      <c r="C4" s="9">
        <v>250</v>
      </c>
      <c r="D4" s="9">
        <v>250</v>
      </c>
      <c r="E4" s="9">
        <v>250</v>
      </c>
      <c r="F4" s="9">
        <v>200</v>
      </c>
      <c r="G4" s="9">
        <v>150</v>
      </c>
    </row>
    <row r="5" spans="1:7" ht="18" thickBot="1" x14ac:dyDescent="0.3">
      <c r="A5" s="6" t="s">
        <v>13</v>
      </c>
      <c r="B5" s="9">
        <v>250</v>
      </c>
      <c r="C5" s="9">
        <f>IF(C4&gt;(B6+C3),(B6+C3),C4)</f>
        <v>250</v>
      </c>
      <c r="D5" s="9">
        <f>IF(D4&gt;(C6+D3),(C6+D3),D4)</f>
        <v>250</v>
      </c>
      <c r="E5" s="9">
        <f>IF(E4&gt;(D6+E3),(D6+E3),E4)</f>
        <v>250</v>
      </c>
      <c r="F5" s="9">
        <f>IF(F4&gt;(E6+F3),(E6+F3),F4)</f>
        <v>200</v>
      </c>
      <c r="G5" s="9">
        <f>IF(G4&gt;(F6+G3),(F6+G3),G4)</f>
        <v>150</v>
      </c>
    </row>
    <row r="6" spans="1:7" ht="18" thickBot="1" x14ac:dyDescent="0.3">
      <c r="A6" s="5" t="s">
        <v>14</v>
      </c>
      <c r="B6" s="9">
        <f>IF(B3-B5&lt;0,0,B3-B5)</f>
        <v>279</v>
      </c>
      <c r="C6" s="9">
        <f>B6+C3-C5</f>
        <v>414</v>
      </c>
      <c r="D6" s="9">
        <f>C6+D3-D5</f>
        <v>564</v>
      </c>
      <c r="E6" s="9">
        <f>D6+E3-E5</f>
        <v>999</v>
      </c>
      <c r="F6" s="9">
        <f>E6+F3-F5</f>
        <v>1154</v>
      </c>
      <c r="G6" s="9">
        <f>F6+G3-G5</f>
        <v>1436</v>
      </c>
    </row>
    <row r="7" spans="1:7" ht="18" thickBot="1" x14ac:dyDescent="0.3">
      <c r="A7" s="7" t="s">
        <v>15</v>
      </c>
      <c r="B7" s="9">
        <f>B3</f>
        <v>529</v>
      </c>
      <c r="C7" s="9">
        <f>B7+C3</f>
        <v>914</v>
      </c>
      <c r="D7" s="9">
        <f>C7+D3</f>
        <v>1314</v>
      </c>
      <c r="E7" s="9">
        <f>D7+E3</f>
        <v>1999</v>
      </c>
      <c r="F7" s="9">
        <f>E7+F3</f>
        <v>2354</v>
      </c>
      <c r="G7" s="9">
        <f>F7+G3</f>
        <v>2786</v>
      </c>
    </row>
    <row r="8" spans="1:7" ht="18" thickBot="1" x14ac:dyDescent="0.3">
      <c r="A8" s="7" t="s">
        <v>16</v>
      </c>
      <c r="B8" s="9">
        <f>B5</f>
        <v>250</v>
      </c>
      <c r="C8" s="9">
        <f>B8+C5</f>
        <v>500</v>
      </c>
      <c r="D8" s="9">
        <f t="shared" ref="D8:G8" si="0">C8+D5</f>
        <v>750</v>
      </c>
      <c r="E8" s="9">
        <f t="shared" si="0"/>
        <v>1000</v>
      </c>
      <c r="F8" s="9">
        <f t="shared" si="0"/>
        <v>1200</v>
      </c>
      <c r="G8" s="9">
        <f t="shared" si="0"/>
        <v>1350</v>
      </c>
    </row>
    <row r="11" spans="1:7" x14ac:dyDescent="0.25">
      <c r="A11" t="s">
        <v>18</v>
      </c>
      <c r="B11">
        <v>125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XYZ</dc:creator>
  <cp:lastModifiedBy>Alexander Kalis</cp:lastModifiedBy>
  <dcterms:created xsi:type="dcterms:W3CDTF">2021-05-12T06:22:06Z</dcterms:created>
  <dcterms:modified xsi:type="dcterms:W3CDTF">2021-06-26T07:01:42Z</dcterms:modified>
</cp:coreProperties>
</file>