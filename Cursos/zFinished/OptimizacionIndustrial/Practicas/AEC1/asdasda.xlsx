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OptimizacionIndustrial/Practicas/AEC1/"/>
    </mc:Choice>
  </mc:AlternateContent>
  <xr:revisionPtr revIDLastSave="1" documentId="8_{BEF50903-B421-430D-B949-251EA6E4F951}" xr6:coauthVersionLast="47" xr6:coauthVersionMax="47" xr10:uidLastSave="{401F7BF6-BBC1-4CA0-8F51-C954C0FB5A3F}"/>
  <bookViews>
    <workbookView minimized="1" xWindow="1560" yWindow="2010" windowWidth="21600" windowHeight="11505" xr2:uid="{FEA7F6B2-565A-4B62-AF5D-33E9801DE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D21" i="1"/>
  <c r="D22" i="1"/>
  <c r="C21" i="1"/>
  <c r="C22" i="1"/>
  <c r="C20" i="1"/>
  <c r="D20" i="1"/>
  <c r="E20" i="1"/>
  <c r="B20" i="1"/>
  <c r="F20" i="1" s="1"/>
  <c r="B21" i="1"/>
  <c r="F21" i="1" s="1"/>
  <c r="B22" i="1"/>
  <c r="F22" i="1" s="1"/>
  <c r="C15" i="1"/>
  <c r="D15" i="1"/>
  <c r="E15" i="1"/>
  <c r="E14" i="1"/>
  <c r="D14" i="1"/>
  <c r="C14" i="1"/>
  <c r="B14" i="1"/>
  <c r="E13" i="1"/>
  <c r="D13" i="1"/>
  <c r="C13" i="1"/>
  <c r="B13" i="1"/>
  <c r="E12" i="1"/>
  <c r="D12" i="1"/>
  <c r="C12" i="1"/>
  <c r="B12" i="1"/>
  <c r="I4" i="1"/>
  <c r="I5" i="1"/>
  <c r="I3" i="1"/>
  <c r="H4" i="1"/>
  <c r="H5" i="1"/>
  <c r="H3" i="1"/>
  <c r="C5" i="1"/>
  <c r="D5" i="1"/>
  <c r="E5" i="1"/>
  <c r="B5" i="1"/>
  <c r="C4" i="1"/>
  <c r="D4" i="1"/>
  <c r="E4" i="1"/>
  <c r="B4" i="1"/>
  <c r="C3" i="1"/>
  <c r="D3" i="1"/>
  <c r="E3" i="1"/>
  <c r="G4" i="1"/>
  <c r="G5" i="1"/>
  <c r="G3" i="1"/>
</calcChain>
</file>

<file path=xl/sharedStrings.xml><?xml version="1.0" encoding="utf-8"?>
<sst xmlns="http://schemas.openxmlformats.org/spreadsheetml/2006/main" count="18" uniqueCount="11">
  <si>
    <t>Alternativa 1</t>
  </si>
  <si>
    <t>Alternativa 2</t>
  </si>
  <si>
    <t>Alternativa 3</t>
  </si>
  <si>
    <t>Número de averías</t>
  </si>
  <si>
    <t>V.E. Laplace</t>
  </si>
  <si>
    <t>V.E. Optimista</t>
  </si>
  <si>
    <t>V.E. Pesimista</t>
  </si>
  <si>
    <t>Savage</t>
  </si>
  <si>
    <t>Matriz de perdidas</t>
  </si>
  <si>
    <t>Max</t>
  </si>
  <si>
    <t>Coste de oportunidad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</si>
</sst>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3" borderId="0" xfId="0" applyFill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D158-136E-4D1B-AF1B-1E2B546B6233}">
  <dimension ref="A1:I22"/>
  <sheetViews>
    <sheetView tabSelected="1" workbookViewId="0">
      <selection activeCell="B3" sqref="B3"/>
    </sheetView>
  </sheetViews>
  <sheetFormatPr defaultRowHeight="15" x14ac:dyDescent="0.25"/>
  <cols>
    <col min="1" max="1" width="18.140625" customWidth="1"/>
    <col min="6" max="6" width="24.28515625" customWidth="1"/>
    <col min="7" max="7" width="12.5703125" customWidth="1"/>
    <col min="8" max="8" width="14.5703125" customWidth="1"/>
    <col min="9" max="9" width="13.42578125" customWidth="1"/>
  </cols>
  <sheetData>
    <row r="1" spans="1:9" x14ac:dyDescent="0.25">
      <c r="B1" s="3" t="s">
        <v>3</v>
      </c>
      <c r="C1" s="3"/>
      <c r="D1" s="3"/>
      <c r="E1" s="3"/>
    </row>
    <row r="2" spans="1:9" x14ac:dyDescent="0.25">
      <c r="B2">
        <v>1</v>
      </c>
      <c r="C2">
        <v>2</v>
      </c>
      <c r="D2">
        <v>3</v>
      </c>
      <c r="E2">
        <v>4</v>
      </c>
      <c r="G2" t="s">
        <v>4</v>
      </c>
      <c r="H2" t="s">
        <v>5</v>
      </c>
      <c r="I2" t="s">
        <v>6</v>
      </c>
    </row>
    <row r="3" spans="1:9" x14ac:dyDescent="0.25">
      <c r="A3" t="s">
        <v>0</v>
      </c>
      <c r="B3">
        <v>6</v>
      </c>
      <c r="C3">
        <f t="shared" ref="C3:E3" si="0">62500-(1000+(C2*250)+6*C2*235)</f>
        <v>58180</v>
      </c>
      <c r="D3">
        <f t="shared" si="0"/>
        <v>56520</v>
      </c>
      <c r="E3">
        <f t="shared" si="0"/>
        <v>54860</v>
      </c>
      <c r="G3">
        <f>MEDIAN(B3:E3)</f>
        <v>55690</v>
      </c>
      <c r="H3" s="1">
        <f>MAX(B3:E3)</f>
        <v>58180</v>
      </c>
      <c r="I3">
        <f>MIN(B3:E3)</f>
        <v>6</v>
      </c>
    </row>
    <row r="4" spans="1:9" x14ac:dyDescent="0.25">
      <c r="A4" t="s">
        <v>1</v>
      </c>
      <c r="B4">
        <f>62500-(1800+(B2*160)+3*B2*235)</f>
        <v>59835</v>
      </c>
      <c r="C4">
        <f t="shared" ref="C4:E4" si="1">62500-(1800+(C2*160)+3*C2*235)</f>
        <v>58970</v>
      </c>
      <c r="D4">
        <f t="shared" si="1"/>
        <v>58105</v>
      </c>
      <c r="E4">
        <f t="shared" si="1"/>
        <v>57240</v>
      </c>
      <c r="G4">
        <f t="shared" ref="G4:G5" si="2">MEDIAN(B4:E4)</f>
        <v>58537.5</v>
      </c>
      <c r="H4">
        <f t="shared" ref="H4:H5" si="3">MAX(B4:E4)</f>
        <v>59835</v>
      </c>
      <c r="I4">
        <f t="shared" ref="I4:I5" si="4">MIN(B4:E4)</f>
        <v>57240</v>
      </c>
    </row>
    <row r="5" spans="1:9" x14ac:dyDescent="0.25">
      <c r="A5" t="s">
        <v>2</v>
      </c>
      <c r="B5">
        <f>62500-(2900+B2*100+1*B2*235)</f>
        <v>59265</v>
      </c>
      <c r="C5">
        <f t="shared" ref="C5:E5" si="5">62500-(2900+C2*100+1*C2*235)</f>
        <v>58930</v>
      </c>
      <c r="D5">
        <f t="shared" si="5"/>
        <v>58595</v>
      </c>
      <c r="E5">
        <f t="shared" si="5"/>
        <v>58260</v>
      </c>
      <c r="G5" s="1">
        <f t="shared" si="2"/>
        <v>58762.5</v>
      </c>
      <c r="H5">
        <f t="shared" si="3"/>
        <v>59265</v>
      </c>
      <c r="I5" s="1">
        <f t="shared" si="4"/>
        <v>58260</v>
      </c>
    </row>
    <row r="8" spans="1:9" x14ac:dyDescent="0.25">
      <c r="A8" t="s">
        <v>7</v>
      </c>
    </row>
    <row r="10" spans="1:9" x14ac:dyDescent="0.25">
      <c r="B10" s="3" t="s">
        <v>3</v>
      </c>
      <c r="C10" s="3"/>
      <c r="D10" s="3"/>
      <c r="E10" s="3"/>
    </row>
    <row r="11" spans="1:9" x14ac:dyDescent="0.25">
      <c r="B11">
        <v>1</v>
      </c>
      <c r="C11">
        <v>2</v>
      </c>
      <c r="D11">
        <v>3</v>
      </c>
      <c r="E11">
        <v>4</v>
      </c>
    </row>
    <row r="12" spans="1:9" x14ac:dyDescent="0.25">
      <c r="A12" t="s">
        <v>0</v>
      </c>
      <c r="B12">
        <f>62500-(1000+(B11*250)+6*B11*235)</f>
        <v>59840</v>
      </c>
      <c r="C12">
        <f t="shared" ref="C12" si="6">62500-(1000+(C11*250)+6*C11*235)</f>
        <v>58180</v>
      </c>
      <c r="D12">
        <f t="shared" ref="D12" si="7">62500-(1000+(D11*250)+6*D11*235)</f>
        <v>56520</v>
      </c>
      <c r="E12">
        <f t="shared" ref="E12" si="8">62500-(1000+(E11*250)+6*E11*235)</f>
        <v>54860</v>
      </c>
    </row>
    <row r="13" spans="1:9" x14ac:dyDescent="0.25">
      <c r="A13" t="s">
        <v>1</v>
      </c>
      <c r="B13">
        <f>62500-(1800+(B11*160)+3*B11*235)</f>
        <v>59835</v>
      </c>
      <c r="C13">
        <f t="shared" ref="C13:E13" si="9">62500-(1800+(C11*160)+3*C11*235)</f>
        <v>58970</v>
      </c>
      <c r="D13">
        <f t="shared" si="9"/>
        <v>58105</v>
      </c>
      <c r="E13">
        <f t="shared" si="9"/>
        <v>57240</v>
      </c>
    </row>
    <row r="14" spans="1:9" x14ac:dyDescent="0.25">
      <c r="A14" t="s">
        <v>2</v>
      </c>
      <c r="B14">
        <f>62500-(2900+B11*100+1*B11*235)</f>
        <v>59265</v>
      </c>
      <c r="C14">
        <f t="shared" ref="C14:E14" si="10">62500-(2900+C11*100+1*C11*235)</f>
        <v>58930</v>
      </c>
      <c r="D14">
        <f t="shared" si="10"/>
        <v>58595</v>
      </c>
      <c r="E14">
        <f t="shared" si="10"/>
        <v>58260</v>
      </c>
    </row>
    <row r="15" spans="1:9" x14ac:dyDescent="0.25">
      <c r="A15" s="2" t="s">
        <v>9</v>
      </c>
      <c r="B15" s="2">
        <v>0</v>
      </c>
      <c r="C15" s="2">
        <f t="shared" ref="C15:E15" si="11">MAX(C12:C14)</f>
        <v>58970</v>
      </c>
      <c r="D15" s="2">
        <f t="shared" si="11"/>
        <v>58595</v>
      </c>
      <c r="E15" s="2">
        <f t="shared" si="11"/>
        <v>58260</v>
      </c>
    </row>
    <row r="17" spans="1:6" x14ac:dyDescent="0.25">
      <c r="A17" t="s">
        <v>8</v>
      </c>
    </row>
    <row r="19" spans="1:6" x14ac:dyDescent="0.25">
      <c r="B19">
        <v>1</v>
      </c>
      <c r="C19">
        <v>2</v>
      </c>
      <c r="D19">
        <v>3</v>
      </c>
      <c r="E19">
        <v>4</v>
      </c>
      <c r="F19" t="s">
        <v>10</v>
      </c>
    </row>
    <row r="20" spans="1:6" x14ac:dyDescent="0.25">
      <c r="A20" t="s">
        <v>0</v>
      </c>
      <c r="B20">
        <f>B$15-B12</f>
        <v>-59840</v>
      </c>
      <c r="C20">
        <f t="shared" ref="C20:E20" si="12">C$15-C12</f>
        <v>790</v>
      </c>
      <c r="D20">
        <f t="shared" si="12"/>
        <v>2075</v>
      </c>
      <c r="E20">
        <f t="shared" si="12"/>
        <v>3400</v>
      </c>
      <c r="F20">
        <f>MAX(B20:E20)</f>
        <v>3400</v>
      </c>
    </row>
    <row r="21" spans="1:6" x14ac:dyDescent="0.25">
      <c r="A21" t="s">
        <v>1</v>
      </c>
      <c r="B21">
        <f t="shared" ref="B21:B22" si="13">$B$15-B13</f>
        <v>-59835</v>
      </c>
      <c r="C21">
        <f t="shared" ref="C21:E21" si="14">C$15-C13</f>
        <v>0</v>
      </c>
      <c r="D21">
        <f t="shared" si="14"/>
        <v>490</v>
      </c>
      <c r="E21">
        <f t="shared" si="14"/>
        <v>1020</v>
      </c>
      <c r="F21">
        <f t="shared" ref="F21:F22" si="15">MAX(B21:E21)</f>
        <v>1020</v>
      </c>
    </row>
    <row r="22" spans="1:6" x14ac:dyDescent="0.25">
      <c r="A22" t="s">
        <v>2</v>
      </c>
      <c r="B22">
        <f t="shared" si="13"/>
        <v>-59265</v>
      </c>
      <c r="C22">
        <f t="shared" ref="C22:E22" si="16">C$15-C14</f>
        <v>40</v>
      </c>
      <c r="D22">
        <f t="shared" si="16"/>
        <v>0</v>
      </c>
      <c r="E22">
        <f t="shared" si="16"/>
        <v>0</v>
      </c>
      <c r="F22">
        <f t="shared" si="15"/>
        <v>40</v>
      </c>
    </row>
  </sheetData>
  <mergeCells count="2">
    <mergeCell ref="B1:E1"/>
    <mergeCell ref="B10:E10"/>
  </mergeCells>
  <conditionalFormatting sqref="G3:G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:F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Alexander Kalis</cp:lastModifiedBy>
  <dcterms:created xsi:type="dcterms:W3CDTF">2021-03-28T12:03:40Z</dcterms:created>
  <dcterms:modified xsi:type="dcterms:W3CDTF">2021-06-26T07:59:21Z</dcterms:modified>
</cp:coreProperties>
</file>