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FilosofiasMetodologias/Examen/"/>
    </mc:Choice>
  </mc:AlternateContent>
  <xr:revisionPtr revIDLastSave="647" documentId="11_F25DC773A252ABDACC104854191A694E5BDE58E0" xr6:coauthVersionLast="47" xr6:coauthVersionMax="47" xr10:uidLastSave="{4E62F7C7-2480-4157-BD95-4D89CBD32ED5}"/>
  <bookViews>
    <workbookView xWindow="-120" yWindow="330" windowWidth="29040" windowHeight="15990" activeTab="2" xr2:uid="{00000000-000D-0000-FFFF-FFFF00000000}"/>
  </bookViews>
  <sheets>
    <sheet name="Tradicional vs Lean" sheetId="1" r:id="rId1"/>
    <sheet name="Balanceo de operaciones" sheetId="2" r:id="rId2"/>
    <sheet name="OEE" sheetId="3" r:id="rId3"/>
    <sheet name="Estratificacion" sheetId="4" r:id="rId4"/>
    <sheet name="Pareto" sheetId="5" r:id="rId5"/>
  </sheets>
  <definedNames>
    <definedName name="_xlchart.v1.0" hidden="1">Pareto!$G$3:$G$4</definedName>
    <definedName name="_xlchart.v1.1" hidden="1">Pareto!$H$3:$H$4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F21" i="1"/>
  <c r="F18" i="1"/>
  <c r="F15" i="1"/>
  <c r="F12" i="1"/>
  <c r="K7" i="1"/>
  <c r="K4" i="1"/>
  <c r="L4" i="1"/>
  <c r="C11" i="1"/>
  <c r="C14" i="1"/>
  <c r="C17" i="1"/>
  <c r="C20" i="1"/>
  <c r="D20" i="1"/>
  <c r="B15" i="3"/>
  <c r="C21" i="2"/>
  <c r="C20" i="2"/>
  <c r="C19" i="2"/>
  <c r="C18" i="2"/>
  <c r="C17" i="2"/>
  <c r="C16" i="2"/>
  <c r="C15" i="2"/>
  <c r="C14" i="2"/>
  <c r="C13" i="2"/>
  <c r="B23" i="2"/>
  <c r="E3" i="2"/>
  <c r="B25" i="3"/>
  <c r="H4" i="5"/>
  <c r="I4" i="5" s="1"/>
  <c r="H3" i="5"/>
  <c r="I3" i="5" s="1"/>
  <c r="J3" i="5" s="1"/>
  <c r="G2" i="4"/>
  <c r="B23" i="3"/>
  <c r="B16" i="3"/>
  <c r="B17" i="3" s="1"/>
  <c r="B9" i="3"/>
  <c r="B5" i="3"/>
  <c r="B7" i="3" s="1"/>
  <c r="B4" i="3"/>
  <c r="J4" i="5" l="1"/>
  <c r="B34" i="3"/>
  <c r="B24" i="3"/>
  <c r="B26" i="3" s="1"/>
  <c r="B30" i="3" s="1"/>
  <c r="B6" i="3"/>
  <c r="B19" i="3" l="1"/>
  <c r="G12" i="2" l="1"/>
  <c r="G17" i="2"/>
  <c r="C8" i="2"/>
  <c r="E4" i="2" s="1"/>
  <c r="E5" i="2" s="1"/>
  <c r="E6" i="2" s="1"/>
  <c r="F6" i="2" s="1"/>
  <c r="K20" i="1"/>
  <c r="P6" i="1"/>
  <c r="D17" i="1"/>
  <c r="D14" i="1"/>
  <c r="D11" i="1"/>
  <c r="E21" i="1"/>
  <c r="E15" i="1"/>
  <c r="E12" i="1"/>
  <c r="H12" i="2" l="1"/>
  <c r="H14" i="2"/>
  <c r="H15" i="2"/>
  <c r="H13" i="2"/>
  <c r="B27" i="3"/>
  <c r="B29" i="3" s="1"/>
  <c r="G16" i="2"/>
  <c r="G18" i="2" s="1"/>
  <c r="L13" i="1"/>
  <c r="K10" i="1"/>
  <c r="L10" i="1" s="1"/>
  <c r="E18" i="1"/>
  <c r="L7" i="1"/>
  <c r="H16" i="2" l="1"/>
  <c r="G19" i="2" s="1"/>
  <c r="F24" i="1"/>
  <c r="L45" i="1" s="1"/>
  <c r="K45" i="1" s="1"/>
  <c r="L42" i="1" s="1"/>
  <c r="K42" i="1" s="1"/>
  <c r="L39" i="1" s="1"/>
  <c r="K39" i="1" s="1"/>
  <c r="L36" i="1" s="1"/>
  <c r="K36" i="1" s="1"/>
  <c r="D27" i="1"/>
  <c r="C30" i="1" s="1"/>
  <c r="D30" i="1" s="1"/>
  <c r="C33" i="1" s="1"/>
  <c r="D33" i="1" s="1"/>
  <c r="C36" i="1" s="1"/>
  <c r="D36" i="1" s="1"/>
  <c r="C39" i="1" s="1"/>
  <c r="D39" i="1" s="1"/>
  <c r="L20" i="1" l="1"/>
  <c r="K23" i="1" s="1"/>
  <c r="L23" i="1" s="1"/>
  <c r="K26" i="1" s="1"/>
  <c r="L26" i="1" s="1"/>
  <c r="K29" i="1" s="1"/>
  <c r="L29" i="1" s="1"/>
</calcChain>
</file>

<file path=xl/sharedStrings.xml><?xml version="1.0" encoding="utf-8"?>
<sst xmlns="http://schemas.openxmlformats.org/spreadsheetml/2006/main" count="234" uniqueCount="110">
  <si>
    <t>Ítem</t>
  </si>
  <si>
    <t>Cantidad</t>
  </si>
  <si>
    <t>Tasa producción (uds/h)</t>
  </si>
  <si>
    <t>A</t>
  </si>
  <si>
    <t>B</t>
  </si>
  <si>
    <t>C</t>
  </si>
  <si>
    <t>D</t>
  </si>
  <si>
    <t>E</t>
  </si>
  <si>
    <t>Tamaño lote</t>
  </si>
  <si>
    <t>Horas de producción</t>
  </si>
  <si>
    <t>Total</t>
  </si>
  <si>
    <t>Hora inicio</t>
  </si>
  <si>
    <t>Hora fin</t>
  </si>
  <si>
    <t>Tradicional</t>
  </si>
  <si>
    <t>Lean</t>
  </si>
  <si>
    <t>Horas producción / lote</t>
  </si>
  <si>
    <t>Primer lote:</t>
  </si>
  <si>
    <t>Último lote:</t>
  </si>
  <si>
    <t>Demanda del cliente (uds/mes)</t>
  </si>
  <si>
    <t>Tiempo del turno (minutos/día)</t>
  </si>
  <si>
    <t>Días laborables/mes</t>
  </si>
  <si>
    <t>Pausas descanso (min/día)</t>
  </si>
  <si>
    <t>Disponibilidad máquinas</t>
  </si>
  <si>
    <t>Porcentaje de defectuosas (scrap)</t>
  </si>
  <si>
    <t>Operación</t>
  </si>
  <si>
    <t>Tiempo (s)</t>
  </si>
  <si>
    <t>F</t>
  </si>
  <si>
    <t>G</t>
  </si>
  <si>
    <t>H</t>
  </si>
  <si>
    <t>I</t>
  </si>
  <si>
    <t>J</t>
  </si>
  <si>
    <t>K</t>
  </si>
  <si>
    <t>Tiempo trabajo diario</t>
  </si>
  <si>
    <t>s</t>
  </si>
  <si>
    <t>d</t>
  </si>
  <si>
    <t>h</t>
  </si>
  <si>
    <t>Cada X  dias</t>
  </si>
  <si>
    <t>Lotes totales</t>
  </si>
  <si>
    <t>Lotes de cada producto x dia</t>
  </si>
  <si>
    <t>Produccion requerida</t>
  </si>
  <si>
    <t>Takt time</t>
  </si>
  <si>
    <t>Tiempo acumulado</t>
  </si>
  <si>
    <t>Tecnico</t>
  </si>
  <si>
    <t>Tiempo no asignado</t>
  </si>
  <si>
    <t>Tiempo asignado</t>
  </si>
  <si>
    <t>Tiempo de ciclo</t>
  </si>
  <si>
    <t>Perdidas balanceo</t>
  </si>
  <si>
    <t>N tecnicos ideal</t>
  </si>
  <si>
    <t>N tecnicos reales</t>
  </si>
  <si>
    <t>Eficiencia</t>
  </si>
  <si>
    <t>DISPONIBILIDAD</t>
  </si>
  <si>
    <t>Tiempo por turno (min)</t>
  </si>
  <si>
    <t>turnos</t>
  </si>
  <si>
    <t>N.º turnos</t>
  </si>
  <si>
    <t>tiempo</t>
  </si>
  <si>
    <t>Tiempo total (min)</t>
  </si>
  <si>
    <t>descanso</t>
  </si>
  <si>
    <t>Descanso (min)</t>
  </si>
  <si>
    <t>parada</t>
  </si>
  <si>
    <t>Tiempo total disponible (min)</t>
  </si>
  <si>
    <t>prod</t>
  </si>
  <si>
    <t>Otros tiempos de parada: Averías, reuniones,</t>
  </si>
  <si>
    <t>def</t>
  </si>
  <si>
    <t>falta de material, cambios de producto, etc.: (min)</t>
  </si>
  <si>
    <t>cadencia</t>
  </si>
  <si>
    <t>Tiempo utilizado (min)</t>
  </si>
  <si>
    <t>Indice disponibilidad (%)</t>
  </si>
  <si>
    <t>EFICIENCIA</t>
  </si>
  <si>
    <t>N.º total de piezas producidas (buenas y malas):</t>
  </si>
  <si>
    <t>Cadencia ideal (a máximo) (piezas/hora):</t>
  </si>
  <si>
    <t>Piezas máximas teóricas</t>
  </si>
  <si>
    <t>Indice de Eficiencia  (%)</t>
  </si>
  <si>
    <t>Tiempo perdido por ineficiencias (min)</t>
  </si>
  <si>
    <t>Tiempo neto operativo (min)</t>
  </si>
  <si>
    <t>CALIDAD</t>
  </si>
  <si>
    <t>N.º total de piezas defectuosas</t>
  </si>
  <si>
    <t>N.º total de piezas buenas</t>
  </si>
  <si>
    <t>N.º total de piezas producidas</t>
  </si>
  <si>
    <t>Índice de Calidad (%)</t>
  </si>
  <si>
    <t>Tiempo por pérdidas de calidad (min)</t>
  </si>
  <si>
    <t>Tiempo efectivo real (min)</t>
  </si>
  <si>
    <t>OEE (OVERALL EFFICIENCY EQUIPMENT):</t>
  </si>
  <si>
    <t>EFICIENCIA GLOBAL DE EQUIPOS (%)</t>
  </si>
  <si>
    <t>PPM INTERNAS (PARTS PER MILION): PARTES POR MILLÓN</t>
  </si>
  <si>
    <t>PPM INTERNAS (ppm)</t>
  </si>
  <si>
    <t>Nº dato</t>
  </si>
  <si>
    <t>Nº defectos</t>
  </si>
  <si>
    <t>Materia prima</t>
  </si>
  <si>
    <t>Coeficiente correlacion</t>
  </si>
  <si>
    <t>Servicio</t>
  </si>
  <si>
    <t>Turno</t>
  </si>
  <si>
    <t>Número incidencias tipo 1</t>
  </si>
  <si>
    <t>Número incidencias tipo 2</t>
  </si>
  <si>
    <t>Número incidencias tipo 3</t>
  </si>
  <si>
    <t>Atención al puesto de trabajo</t>
  </si>
  <si>
    <t>Lunes</t>
  </si>
  <si>
    <t>Martes</t>
  </si>
  <si>
    <t>Miércoles</t>
  </si>
  <si>
    <t>Jueves</t>
  </si>
  <si>
    <t>Viernes</t>
  </si>
  <si>
    <t>Wifi invitados</t>
  </si>
  <si>
    <t>Atención a aulas de laboratorio</t>
  </si>
  <si>
    <t>Tiempo respuesta incidencias tipo 1 (horas)</t>
  </si>
  <si>
    <t>Tiempo respuesta incidencias tipo 2 (horas)</t>
  </si>
  <si>
    <t>Tiempo respuesta incidencias tipo 3 (horas)</t>
  </si>
  <si>
    <t>Tipo incidencia</t>
  </si>
  <si>
    <t>%</t>
  </si>
  <si>
    <t>%Acumulado</t>
  </si>
  <si>
    <t>Tipo 1</t>
  </si>
  <si>
    <t>Tipo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</si>
</sst>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242424"/>
      <name val="Segoe UI"/>
      <family val="2"/>
    </font>
    <font>
      <b/>
      <sz val="8"/>
      <color rgb="FF242424"/>
      <name val="Segoe UI"/>
      <family val="2"/>
    </font>
    <font>
      <sz val="8"/>
      <color rgb="FF242424"/>
      <name val="Segoe U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rgb="FFCFE7F5"/>
        <bgColor indexed="64"/>
      </patternFill>
    </fill>
    <fill>
      <patternFill patternType="solid">
        <fgColor rgb="FFAEC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0CECE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0" borderId="7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6" xfId="0" applyBorder="1"/>
    <xf numFmtId="0" fontId="1" fillId="2" borderId="1" xfId="1" applyAlignment="1">
      <alignment horizontal="center" vertical="center" wrapText="1"/>
    </xf>
    <xf numFmtId="0" fontId="1" fillId="2" borderId="1" xfId="1"/>
    <xf numFmtId="2" fontId="0" fillId="0" borderId="0" xfId="0" applyNumberFormat="1"/>
    <xf numFmtId="10" fontId="0" fillId="0" borderId="0" xfId="0" applyNumberFormat="1"/>
    <xf numFmtId="0" fontId="5" fillId="0" borderId="2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10" fontId="5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0" fillId="0" borderId="9" xfId="0" applyNumberFormat="1" applyBorder="1"/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37EBE76-5AB6-4548-968C-5BA489274DEF}">
          <cx:dataId val="0"/>
          <cx:layoutPr>
            <cx:aggregation/>
          </cx:layoutPr>
          <cx:axisId val="1"/>
        </cx:series>
        <cx:series layoutId="paretoLine" ownerIdx="0" uniqueId="{AAF82DD0-988E-4A52-ACB2-9D84295E499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8</xdr:row>
      <xdr:rowOff>200025</xdr:rowOff>
    </xdr:from>
    <xdr:to>
      <xdr:col>11</xdr:col>
      <xdr:colOff>166687</xdr:colOff>
      <xdr:row>20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705EBCC-04F9-4DE2-9319-A710E9C6F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8537" y="2076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P53"/>
  <sheetViews>
    <sheetView workbookViewId="0">
      <selection activeCell="H26" sqref="H26"/>
    </sheetView>
  </sheetViews>
  <sheetFormatPr defaultRowHeight="15" x14ac:dyDescent="0.25"/>
  <cols>
    <col min="3" max="3" width="16" customWidth="1"/>
    <col min="4" max="4" width="36.7109375" customWidth="1"/>
    <col min="5" max="5" width="21.28515625" customWidth="1"/>
    <col min="6" max="6" width="18.140625" customWidth="1"/>
    <col min="11" max="11" width="30.140625" customWidth="1"/>
    <col min="12" max="12" width="35.85546875" customWidth="1"/>
    <col min="15" max="15" width="16" customWidth="1"/>
  </cols>
  <sheetData>
    <row r="1" spans="2:16" x14ac:dyDescent="0.25">
      <c r="B1" s="58" t="s">
        <v>13</v>
      </c>
      <c r="C1" s="58"/>
      <c r="D1" s="58"/>
      <c r="I1" s="58" t="s">
        <v>14</v>
      </c>
      <c r="J1" s="58"/>
      <c r="K1" s="58"/>
      <c r="L1" s="58"/>
    </row>
    <row r="3" spans="2:16" ht="31.5" customHeight="1" x14ac:dyDescent="0.25">
      <c r="B3" s="1" t="s">
        <v>0</v>
      </c>
      <c r="C3" s="1" t="s">
        <v>1</v>
      </c>
      <c r="D3" s="1" t="s">
        <v>2</v>
      </c>
      <c r="J3" s="1" t="s">
        <v>0</v>
      </c>
      <c r="K3" s="1" t="s">
        <v>15</v>
      </c>
      <c r="L3" s="1" t="s">
        <v>8</v>
      </c>
    </row>
    <row r="4" spans="2:16" ht="16.5" x14ac:dyDescent="0.25">
      <c r="B4" s="2" t="s">
        <v>3</v>
      </c>
      <c r="C4" s="2">
        <v>800</v>
      </c>
      <c r="D4" s="2">
        <v>50</v>
      </c>
      <c r="E4" t="s">
        <v>33</v>
      </c>
      <c r="F4">
        <v>2</v>
      </c>
      <c r="J4" s="53" t="s">
        <v>3</v>
      </c>
      <c r="K4" s="53">
        <f>F12/$P$6</f>
        <v>8</v>
      </c>
      <c r="L4" s="53">
        <f>K4*D4</f>
        <v>400</v>
      </c>
      <c r="N4" s="58" t="s">
        <v>38</v>
      </c>
      <c r="O4" s="58"/>
      <c r="P4">
        <v>1</v>
      </c>
    </row>
    <row r="5" spans="2:16" ht="16.5" x14ac:dyDescent="0.25">
      <c r="B5" s="2" t="s">
        <v>4</v>
      </c>
      <c r="C5" s="2">
        <v>680</v>
      </c>
      <c r="D5" s="2">
        <v>40</v>
      </c>
      <c r="E5" t="s">
        <v>34</v>
      </c>
      <c r="F5">
        <v>5</v>
      </c>
      <c r="J5" s="54"/>
      <c r="K5" s="54"/>
      <c r="L5" s="54"/>
      <c r="N5" s="58" t="s">
        <v>36</v>
      </c>
      <c r="O5" s="58"/>
      <c r="P5">
        <v>5</v>
      </c>
    </row>
    <row r="6" spans="2:16" ht="16.5" x14ac:dyDescent="0.25">
      <c r="B6" s="2" t="s">
        <v>5</v>
      </c>
      <c r="C6" s="2">
        <v>600</v>
      </c>
      <c r="D6" s="2">
        <v>50</v>
      </c>
      <c r="E6" t="s">
        <v>35</v>
      </c>
      <c r="F6">
        <v>7</v>
      </c>
      <c r="J6" s="55"/>
      <c r="K6" s="55"/>
      <c r="L6" s="55"/>
      <c r="N6" s="58" t="s">
        <v>37</v>
      </c>
      <c r="O6" s="58"/>
      <c r="P6">
        <f>F5*F4/P5</f>
        <v>2</v>
      </c>
    </row>
    <row r="7" spans="2:16" ht="16.5" x14ac:dyDescent="0.25">
      <c r="B7" s="2" t="s">
        <v>6</v>
      </c>
      <c r="C7" s="2">
        <v>624</v>
      </c>
      <c r="D7" s="2">
        <v>74</v>
      </c>
      <c r="J7" s="53" t="s">
        <v>4</v>
      </c>
      <c r="K7" s="53">
        <f>F15/$P$6</f>
        <v>8.5</v>
      </c>
      <c r="L7" s="53">
        <f>K7*D5</f>
        <v>340</v>
      </c>
    </row>
    <row r="8" spans="2:16" x14ac:dyDescent="0.25">
      <c r="J8" s="54"/>
      <c r="K8" s="54"/>
      <c r="L8" s="54"/>
    </row>
    <row r="9" spans="2:16" ht="15" customHeight="1" x14ac:dyDescent="0.25">
      <c r="J9" s="55"/>
      <c r="K9" s="55"/>
      <c r="L9" s="55"/>
    </row>
    <row r="10" spans="2:16" ht="15" customHeight="1" x14ac:dyDescent="0.25">
      <c r="B10" s="1" t="s">
        <v>0</v>
      </c>
      <c r="C10" s="1" t="s">
        <v>1</v>
      </c>
      <c r="D10" s="1" t="s">
        <v>2</v>
      </c>
      <c r="J10" s="53" t="s">
        <v>5</v>
      </c>
      <c r="K10" s="53">
        <f t="shared" ref="K10" si="0">F18/$P$6</f>
        <v>6</v>
      </c>
      <c r="L10" s="53">
        <f>K10*D6</f>
        <v>300</v>
      </c>
    </row>
    <row r="11" spans="2:16" ht="30.75" customHeight="1" x14ac:dyDescent="0.25">
      <c r="B11" s="53" t="s">
        <v>3</v>
      </c>
      <c r="C11" s="53">
        <f>C4</f>
        <v>800</v>
      </c>
      <c r="D11" s="53">
        <f>D4</f>
        <v>50</v>
      </c>
      <c r="E11" s="1" t="s">
        <v>8</v>
      </c>
      <c r="F11" s="1" t="s">
        <v>9</v>
      </c>
      <c r="J11" s="54"/>
      <c r="K11" s="54"/>
      <c r="L11" s="54"/>
    </row>
    <row r="12" spans="2:16" ht="15" customHeight="1" x14ac:dyDescent="0.25">
      <c r="B12" s="54"/>
      <c r="C12" s="54"/>
      <c r="D12" s="54"/>
      <c r="E12" s="53">
        <f>C11</f>
        <v>800</v>
      </c>
      <c r="F12" s="53">
        <f>C11/D11</f>
        <v>16</v>
      </c>
      <c r="J12" s="55"/>
      <c r="K12" s="55"/>
      <c r="L12" s="55"/>
    </row>
    <row r="13" spans="2:16" ht="15" customHeight="1" x14ac:dyDescent="0.25">
      <c r="B13" s="55"/>
      <c r="C13" s="55"/>
      <c r="D13" s="55"/>
      <c r="E13" s="54"/>
      <c r="F13" s="54"/>
      <c r="J13" s="53" t="s">
        <v>6</v>
      </c>
      <c r="K13" s="59">
        <f>F21/$P$6</f>
        <v>4.2162162162162158</v>
      </c>
      <c r="L13" s="53">
        <f>K13*D7</f>
        <v>311.99999999999994</v>
      </c>
    </row>
    <row r="14" spans="2:16" ht="15" customHeight="1" x14ac:dyDescent="0.25">
      <c r="B14" s="53" t="s">
        <v>4</v>
      </c>
      <c r="C14" s="53">
        <f>C5</f>
        <v>680</v>
      </c>
      <c r="D14" s="53">
        <f>D5</f>
        <v>40</v>
      </c>
      <c r="E14" s="55"/>
      <c r="F14" s="55"/>
      <c r="J14" s="54"/>
      <c r="K14" s="60"/>
      <c r="L14" s="54"/>
    </row>
    <row r="15" spans="2:16" ht="15" customHeight="1" x14ac:dyDescent="0.25">
      <c r="B15" s="54"/>
      <c r="C15" s="54"/>
      <c r="D15" s="54"/>
      <c r="E15" s="53">
        <f>C14</f>
        <v>680</v>
      </c>
      <c r="F15" s="53">
        <f>C14/D14</f>
        <v>17</v>
      </c>
      <c r="J15" s="55"/>
      <c r="K15" s="61"/>
      <c r="L15" s="55"/>
    </row>
    <row r="16" spans="2:16" ht="15" customHeight="1" x14ac:dyDescent="0.25">
      <c r="B16" s="55"/>
      <c r="C16" s="55"/>
      <c r="D16" s="55"/>
      <c r="E16" s="54"/>
      <c r="F16" s="54"/>
    </row>
    <row r="17" spans="2:12" ht="15" customHeight="1" x14ac:dyDescent="0.25">
      <c r="B17" s="53" t="s">
        <v>5</v>
      </c>
      <c r="C17" s="53">
        <f>C6</f>
        <v>600</v>
      </c>
      <c r="D17" s="53">
        <f>D6</f>
        <v>50</v>
      </c>
      <c r="E17" s="55"/>
      <c r="F17" s="55"/>
    </row>
    <row r="18" spans="2:12" ht="15" customHeight="1" x14ac:dyDescent="0.25">
      <c r="B18" s="54"/>
      <c r="C18" s="54"/>
      <c r="D18" s="54"/>
      <c r="E18" s="53">
        <f>C17</f>
        <v>600</v>
      </c>
      <c r="F18" s="53">
        <f>C17/D17</f>
        <v>12</v>
      </c>
      <c r="J18" s="62" t="s">
        <v>0</v>
      </c>
      <c r="K18" s="5" t="s">
        <v>16</v>
      </c>
      <c r="L18" s="5" t="s">
        <v>16</v>
      </c>
    </row>
    <row r="19" spans="2:12" ht="15" customHeight="1" x14ac:dyDescent="0.25">
      <c r="B19" s="55"/>
      <c r="C19" s="55"/>
      <c r="D19" s="55"/>
      <c r="E19" s="54"/>
      <c r="F19" s="54"/>
      <c r="J19" s="63"/>
      <c r="K19" s="6" t="s">
        <v>11</v>
      </c>
      <c r="L19" s="6" t="s">
        <v>12</v>
      </c>
    </row>
    <row r="20" spans="2:12" ht="15" customHeight="1" x14ac:dyDescent="0.25">
      <c r="B20" s="53" t="s">
        <v>6</v>
      </c>
      <c r="C20" s="53">
        <f>C7</f>
        <v>624</v>
      </c>
      <c r="D20" s="53">
        <f>D7</f>
        <v>74</v>
      </c>
      <c r="E20" s="55"/>
      <c r="F20" s="55"/>
      <c r="J20" s="53" t="s">
        <v>3</v>
      </c>
      <c r="K20" s="53">
        <f>0</f>
        <v>0</v>
      </c>
      <c r="L20" s="53">
        <f>K20+K4</f>
        <v>8</v>
      </c>
    </row>
    <row r="21" spans="2:12" x14ac:dyDescent="0.25">
      <c r="B21" s="54"/>
      <c r="C21" s="54"/>
      <c r="D21" s="54"/>
      <c r="E21" s="53">
        <f>C20</f>
        <v>624</v>
      </c>
      <c r="F21" s="53">
        <f>C20/D20</f>
        <v>8.4324324324324316</v>
      </c>
      <c r="J21" s="54"/>
      <c r="K21" s="54"/>
      <c r="L21" s="54"/>
    </row>
    <row r="22" spans="2:12" x14ac:dyDescent="0.25">
      <c r="B22" s="55"/>
      <c r="C22" s="55"/>
      <c r="D22" s="55"/>
      <c r="E22" s="54"/>
      <c r="F22" s="54"/>
      <c r="J22" s="55"/>
      <c r="K22" s="55"/>
      <c r="L22" s="55"/>
    </row>
    <row r="23" spans="2:12" ht="15" customHeight="1" x14ac:dyDescent="0.25">
      <c r="B23" s="2"/>
      <c r="C23" s="2"/>
      <c r="D23" s="3"/>
      <c r="E23" s="55"/>
      <c r="F23" s="55"/>
      <c r="J23" s="53" t="s">
        <v>4</v>
      </c>
      <c r="K23" s="53">
        <f>L20</f>
        <v>8</v>
      </c>
      <c r="L23" s="53">
        <f>K23+K7</f>
        <v>16.5</v>
      </c>
    </row>
    <row r="24" spans="2:12" ht="15" customHeight="1" x14ac:dyDescent="0.25">
      <c r="E24" s="4" t="s">
        <v>10</v>
      </c>
      <c r="F24" s="4">
        <f>SUM(F12:F23)</f>
        <v>53.432432432432435</v>
      </c>
      <c r="J24" s="54"/>
      <c r="K24" s="54"/>
      <c r="L24" s="54"/>
    </row>
    <row r="25" spans="2:12" ht="15" customHeight="1" x14ac:dyDescent="0.25">
      <c r="J25" s="55"/>
      <c r="K25" s="55"/>
      <c r="L25" s="55"/>
    </row>
    <row r="26" spans="2:12" ht="15" customHeight="1" x14ac:dyDescent="0.25">
      <c r="B26" s="5" t="s">
        <v>0</v>
      </c>
      <c r="C26" s="5" t="s">
        <v>11</v>
      </c>
      <c r="D26" s="5" t="s">
        <v>12</v>
      </c>
      <c r="J26" s="53" t="s">
        <v>5</v>
      </c>
      <c r="K26" s="53">
        <f t="shared" ref="K26" si="1">L23</f>
        <v>16.5</v>
      </c>
      <c r="L26" s="53">
        <f>K26+K10</f>
        <v>22.5</v>
      </c>
    </row>
    <row r="27" spans="2:12" x14ac:dyDescent="0.25">
      <c r="B27" s="56" t="s">
        <v>3</v>
      </c>
      <c r="C27" s="57">
        <v>0</v>
      </c>
      <c r="D27" s="57">
        <f>C27+F12</f>
        <v>16</v>
      </c>
      <c r="J27" s="54"/>
      <c r="K27" s="54"/>
      <c r="L27" s="54"/>
    </row>
    <row r="28" spans="2:12" ht="15" customHeight="1" x14ac:dyDescent="0.25">
      <c r="B28" s="56"/>
      <c r="C28" s="57"/>
      <c r="D28" s="57"/>
      <c r="J28" s="55"/>
      <c r="K28" s="55"/>
      <c r="L28" s="55"/>
    </row>
    <row r="29" spans="2:12" ht="15" customHeight="1" x14ac:dyDescent="0.25">
      <c r="B29" s="56"/>
      <c r="C29" s="57"/>
      <c r="D29" s="57"/>
      <c r="J29" s="53" t="s">
        <v>6</v>
      </c>
      <c r="K29" s="53">
        <f t="shared" ref="K29" si="2">L26</f>
        <v>22.5</v>
      </c>
      <c r="L29" s="53">
        <f>K29+K13</f>
        <v>26.716216216216218</v>
      </c>
    </row>
    <row r="30" spans="2:12" x14ac:dyDescent="0.25">
      <c r="B30" s="56" t="s">
        <v>4</v>
      </c>
      <c r="C30" s="57">
        <f>D27</f>
        <v>16</v>
      </c>
      <c r="D30" s="57">
        <f>C30+F15</f>
        <v>33</v>
      </c>
      <c r="J30" s="54"/>
      <c r="K30" s="54"/>
      <c r="L30" s="54"/>
    </row>
    <row r="31" spans="2:12" ht="15" customHeight="1" x14ac:dyDescent="0.25">
      <c r="B31" s="56"/>
      <c r="C31" s="57"/>
      <c r="D31" s="57"/>
      <c r="J31" s="55"/>
      <c r="K31" s="55"/>
      <c r="L31" s="55"/>
    </row>
    <row r="32" spans="2:12" ht="15" customHeight="1" x14ac:dyDescent="0.25">
      <c r="B32" s="56"/>
      <c r="C32" s="57"/>
      <c r="D32" s="57"/>
    </row>
    <row r="33" spans="2:12" ht="15" customHeight="1" x14ac:dyDescent="0.25">
      <c r="B33" s="56" t="s">
        <v>5</v>
      </c>
      <c r="C33" s="57">
        <f t="shared" ref="C33" si="3">D30</f>
        <v>33</v>
      </c>
      <c r="D33" s="57">
        <f>C33+F18</f>
        <v>45</v>
      </c>
    </row>
    <row r="34" spans="2:12" ht="15" customHeight="1" x14ac:dyDescent="0.25">
      <c r="B34" s="56"/>
      <c r="C34" s="57"/>
      <c r="D34" s="57"/>
      <c r="J34" s="62" t="s">
        <v>0</v>
      </c>
      <c r="K34" s="5" t="s">
        <v>17</v>
      </c>
      <c r="L34" s="5" t="s">
        <v>17</v>
      </c>
    </row>
    <row r="35" spans="2:12" ht="15" customHeight="1" x14ac:dyDescent="0.25">
      <c r="B35" s="56"/>
      <c r="C35" s="57"/>
      <c r="D35" s="57"/>
      <c r="J35" s="63"/>
      <c r="K35" s="6" t="s">
        <v>11</v>
      </c>
      <c r="L35" s="6" t="s">
        <v>12</v>
      </c>
    </row>
    <row r="36" spans="2:12" ht="15" customHeight="1" x14ac:dyDescent="0.25">
      <c r="B36" s="56" t="s">
        <v>6</v>
      </c>
      <c r="C36" s="57">
        <f t="shared" ref="C36" si="4">D33</f>
        <v>45</v>
      </c>
      <c r="D36" s="57">
        <f>C36+F21</f>
        <v>53.432432432432435</v>
      </c>
      <c r="J36" s="53" t="s">
        <v>3</v>
      </c>
      <c r="K36" s="53" t="e">
        <f>L36-K4</f>
        <v>#REF!</v>
      </c>
      <c r="L36" s="53" t="e">
        <f t="shared" ref="L36" si="5">K39</f>
        <v>#REF!</v>
      </c>
    </row>
    <row r="37" spans="2:12" ht="15" customHeight="1" x14ac:dyDescent="0.25">
      <c r="B37" s="56"/>
      <c r="C37" s="57"/>
      <c r="D37" s="57"/>
      <c r="J37" s="54"/>
      <c r="K37" s="54"/>
      <c r="L37" s="54"/>
    </row>
    <row r="38" spans="2:12" x14ac:dyDescent="0.25">
      <c r="B38" s="56"/>
      <c r="C38" s="57"/>
      <c r="D38" s="57"/>
      <c r="J38" s="55"/>
      <c r="K38" s="55"/>
      <c r="L38" s="55"/>
    </row>
    <row r="39" spans="2:12" x14ac:dyDescent="0.25">
      <c r="B39" s="56" t="s">
        <v>7</v>
      </c>
      <c r="C39" s="57">
        <f t="shared" ref="C39" si="6">D36</f>
        <v>53.432432432432435</v>
      </c>
      <c r="D39" s="57" t="e">
        <f>C39+#REF!</f>
        <v>#REF!</v>
      </c>
      <c r="J39" s="53" t="s">
        <v>4</v>
      </c>
      <c r="K39" s="53" t="e">
        <f>L39-K7</f>
        <v>#REF!</v>
      </c>
      <c r="L39" s="53" t="e">
        <f t="shared" ref="L39" si="7">K42</f>
        <v>#REF!</v>
      </c>
    </row>
    <row r="40" spans="2:12" x14ac:dyDescent="0.25">
      <c r="B40" s="56"/>
      <c r="C40" s="57"/>
      <c r="D40" s="57"/>
      <c r="J40" s="54"/>
      <c r="K40" s="54"/>
      <c r="L40" s="54"/>
    </row>
    <row r="41" spans="2:12" x14ac:dyDescent="0.25">
      <c r="B41" s="56"/>
      <c r="C41" s="57"/>
      <c r="D41" s="57"/>
      <c r="J41" s="55"/>
      <c r="K41" s="55"/>
      <c r="L41" s="55"/>
    </row>
    <row r="42" spans="2:12" ht="15" customHeight="1" x14ac:dyDescent="0.25">
      <c r="J42" s="53" t="s">
        <v>5</v>
      </c>
      <c r="K42" s="53" t="e">
        <f>L42-K10</f>
        <v>#REF!</v>
      </c>
      <c r="L42" s="53" t="e">
        <f t="shared" ref="L42" si="8">K45</f>
        <v>#REF!</v>
      </c>
    </row>
    <row r="43" spans="2:12" ht="15" customHeight="1" x14ac:dyDescent="0.25">
      <c r="J43" s="54"/>
      <c r="K43" s="54"/>
      <c r="L43" s="54"/>
    </row>
    <row r="44" spans="2:12" ht="15" customHeight="1" x14ac:dyDescent="0.25">
      <c r="J44" s="55"/>
      <c r="K44" s="55"/>
      <c r="L44" s="55"/>
    </row>
    <row r="45" spans="2:12" ht="15" customHeight="1" x14ac:dyDescent="0.25">
      <c r="J45" s="53" t="s">
        <v>6</v>
      </c>
      <c r="K45" s="53" t="e">
        <f>L45-K13</f>
        <v>#REF!</v>
      </c>
      <c r="L45" s="53" t="e">
        <f>#REF!</f>
        <v>#REF!</v>
      </c>
    </row>
    <row r="46" spans="2:12" ht="15" customHeight="1" x14ac:dyDescent="0.25">
      <c r="J46" s="54"/>
      <c r="K46" s="54"/>
      <c r="L46" s="54"/>
    </row>
    <row r="47" spans="2:12" ht="15" customHeight="1" x14ac:dyDescent="0.25">
      <c r="J47" s="55"/>
      <c r="K47" s="55"/>
      <c r="L47" s="55"/>
    </row>
    <row r="48" spans="2:12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78">
    <mergeCell ref="J45:J47"/>
    <mergeCell ref="K45:K47"/>
    <mergeCell ref="L45:L47"/>
    <mergeCell ref="J34:J35"/>
    <mergeCell ref="J36:J38"/>
    <mergeCell ref="K36:K38"/>
    <mergeCell ref="L36:L38"/>
    <mergeCell ref="N4:O4"/>
    <mergeCell ref="N5:O5"/>
    <mergeCell ref="N6:O6"/>
    <mergeCell ref="J42:J44"/>
    <mergeCell ref="K42:K44"/>
    <mergeCell ref="L42:L44"/>
    <mergeCell ref="J26:J28"/>
    <mergeCell ref="K26:K28"/>
    <mergeCell ref="L26:L28"/>
    <mergeCell ref="J39:J41"/>
    <mergeCell ref="K39:K41"/>
    <mergeCell ref="L39:L41"/>
    <mergeCell ref="J29:J31"/>
    <mergeCell ref="K29:K31"/>
    <mergeCell ref="L29:L31"/>
    <mergeCell ref="K7:K9"/>
    <mergeCell ref="L7:L9"/>
    <mergeCell ref="J10:J12"/>
    <mergeCell ref="K10:K12"/>
    <mergeCell ref="L10:L12"/>
    <mergeCell ref="J13:J15"/>
    <mergeCell ref="K13:K15"/>
    <mergeCell ref="L13:L15"/>
    <mergeCell ref="C36:C38"/>
    <mergeCell ref="D36:D38"/>
    <mergeCell ref="C33:C35"/>
    <mergeCell ref="D33:D35"/>
    <mergeCell ref="F18:F20"/>
    <mergeCell ref="F21:F23"/>
    <mergeCell ref="J18:J19"/>
    <mergeCell ref="J20:J22"/>
    <mergeCell ref="K20:K22"/>
    <mergeCell ref="L20:L22"/>
    <mergeCell ref="J23:J25"/>
    <mergeCell ref="K23:K25"/>
    <mergeCell ref="L23:L25"/>
    <mergeCell ref="C39:C41"/>
    <mergeCell ref="D39:D41"/>
    <mergeCell ref="B1:D1"/>
    <mergeCell ref="I1:L1"/>
    <mergeCell ref="J4:J6"/>
    <mergeCell ref="K4:K6"/>
    <mergeCell ref="L4:L6"/>
    <mergeCell ref="J7:J9"/>
    <mergeCell ref="B30:B32"/>
    <mergeCell ref="B33:B35"/>
    <mergeCell ref="B36:B38"/>
    <mergeCell ref="B39:B41"/>
    <mergeCell ref="C27:C29"/>
    <mergeCell ref="D27:D29"/>
    <mergeCell ref="C30:C32"/>
    <mergeCell ref="D30:D32"/>
    <mergeCell ref="B27:B29"/>
    <mergeCell ref="B17:B19"/>
    <mergeCell ref="C17:C19"/>
    <mergeCell ref="D17:D19"/>
    <mergeCell ref="E18:E20"/>
    <mergeCell ref="B20:B22"/>
    <mergeCell ref="C20:C22"/>
    <mergeCell ref="D20:D22"/>
    <mergeCell ref="E21:E23"/>
    <mergeCell ref="B11:B13"/>
    <mergeCell ref="C11:C13"/>
    <mergeCell ref="D11:D13"/>
    <mergeCell ref="E12:E14"/>
    <mergeCell ref="F12:F14"/>
    <mergeCell ref="B14:B16"/>
    <mergeCell ref="C14:C16"/>
    <mergeCell ref="D14:D16"/>
    <mergeCell ref="E15:E17"/>
    <mergeCell ref="F15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31CB-9BAE-4421-BFA6-A54E1E4E70A0}">
  <dimension ref="A3:H25"/>
  <sheetViews>
    <sheetView workbookViewId="0">
      <selection activeCell="C22" sqref="C22"/>
    </sheetView>
  </sheetViews>
  <sheetFormatPr defaultRowHeight="15" x14ac:dyDescent="0.25"/>
  <cols>
    <col min="1" max="1" width="55.28515625" customWidth="1"/>
    <col min="3" max="3" width="20.5703125" customWidth="1"/>
    <col min="4" max="4" width="21.5703125" customWidth="1"/>
    <col min="5" max="5" width="8.85546875" customWidth="1"/>
    <col min="6" max="6" width="17.7109375" customWidth="1"/>
    <col min="7" max="7" width="19.28515625" customWidth="1"/>
    <col min="8" max="8" width="35" customWidth="1"/>
    <col min="9" max="9" width="21.28515625" customWidth="1"/>
  </cols>
  <sheetData>
    <row r="3" spans="1:8" ht="16.5" x14ac:dyDescent="0.25">
      <c r="A3" s="7" t="s">
        <v>18</v>
      </c>
      <c r="B3" s="2">
        <v>2254</v>
      </c>
      <c r="D3" t="s">
        <v>32</v>
      </c>
      <c r="E3">
        <f>(B4-B6)*B7</f>
        <v>580.91999999999996</v>
      </c>
    </row>
    <row r="4" spans="1:8" ht="16.5" x14ac:dyDescent="0.25">
      <c r="A4" s="7" t="s">
        <v>19</v>
      </c>
      <c r="B4" s="2">
        <v>660</v>
      </c>
      <c r="D4" t="s">
        <v>39</v>
      </c>
      <c r="E4">
        <f>B3*100/(100-C8)/22</f>
        <v>108.99419729206964</v>
      </c>
    </row>
    <row r="5" spans="1:8" ht="16.5" x14ac:dyDescent="0.25">
      <c r="A5" s="7" t="s">
        <v>20</v>
      </c>
      <c r="B5" s="2">
        <v>24</v>
      </c>
      <c r="D5" t="s">
        <v>40</v>
      </c>
      <c r="E5">
        <f>E3/E4</f>
        <v>5.329825022182785</v>
      </c>
      <c r="F5" s="10">
        <v>50</v>
      </c>
    </row>
    <row r="6" spans="1:8" ht="16.5" x14ac:dyDescent="0.25">
      <c r="A6" s="7" t="s">
        <v>21</v>
      </c>
      <c r="B6" s="2">
        <v>42</v>
      </c>
      <c r="D6" t="s">
        <v>47</v>
      </c>
      <c r="E6">
        <f>B23/F5</f>
        <v>5.0999999999999996</v>
      </c>
      <c r="F6" s="10">
        <f>E6</f>
        <v>5.0999999999999996</v>
      </c>
    </row>
    <row r="7" spans="1:8" ht="16.5" x14ac:dyDescent="0.25">
      <c r="A7" s="7" t="s">
        <v>22</v>
      </c>
      <c r="B7" s="8">
        <v>0.94</v>
      </c>
    </row>
    <row r="8" spans="1:8" ht="16.5" x14ac:dyDescent="0.25">
      <c r="A8" s="7" t="s">
        <v>23</v>
      </c>
      <c r="B8" s="8">
        <v>0.06</v>
      </c>
      <c r="C8">
        <f>B8*100</f>
        <v>6</v>
      </c>
    </row>
    <row r="11" spans="1:8" ht="30" x14ac:dyDescent="0.25">
      <c r="A11" s="14" t="s">
        <v>24</v>
      </c>
      <c r="B11" s="14" t="s">
        <v>25</v>
      </c>
      <c r="C11" s="15" t="s">
        <v>41</v>
      </c>
      <c r="D11" s="15" t="s">
        <v>42</v>
      </c>
      <c r="F11" t="s">
        <v>42</v>
      </c>
      <c r="G11" t="s">
        <v>44</v>
      </c>
      <c r="H11" t="s">
        <v>43</v>
      </c>
    </row>
    <row r="12" spans="1:8" ht="16.5" x14ac:dyDescent="0.25">
      <c r="A12" s="2" t="s">
        <v>3</v>
      </c>
      <c r="B12" s="11">
        <v>25</v>
      </c>
      <c r="C12" s="13">
        <v>25</v>
      </c>
      <c r="D12" s="13">
        <v>1</v>
      </c>
      <c r="F12">
        <v>1</v>
      </c>
      <c r="G12">
        <f>SUM(B12:B14)</f>
        <v>61</v>
      </c>
      <c r="H12" s="10">
        <f>$F$5-G12</f>
        <v>-11</v>
      </c>
    </row>
    <row r="13" spans="1:8" ht="16.5" x14ac:dyDescent="0.25">
      <c r="A13" s="2" t="s">
        <v>4</v>
      </c>
      <c r="B13" s="11">
        <v>20</v>
      </c>
      <c r="C13" s="13">
        <f>C12+B13</f>
        <v>45</v>
      </c>
      <c r="D13" s="13">
        <v>1</v>
      </c>
      <c r="F13">
        <v>2</v>
      </c>
      <c r="G13">
        <v>67</v>
      </c>
      <c r="H13" s="10">
        <f t="shared" ref="H13:H15" si="0">$F$5-G13</f>
        <v>-17</v>
      </c>
    </row>
    <row r="14" spans="1:8" ht="16.5" x14ac:dyDescent="0.25">
      <c r="A14" s="2" t="s">
        <v>5</v>
      </c>
      <c r="B14" s="11">
        <v>16</v>
      </c>
      <c r="C14" s="13">
        <f>B14</f>
        <v>16</v>
      </c>
      <c r="D14" s="13">
        <v>2</v>
      </c>
      <c r="F14">
        <v>3</v>
      </c>
      <c r="G14">
        <v>62</v>
      </c>
      <c r="H14" s="10">
        <f t="shared" si="0"/>
        <v>-12</v>
      </c>
    </row>
    <row r="15" spans="1:8" ht="16.5" x14ac:dyDescent="0.25">
      <c r="A15" s="2" t="s">
        <v>6</v>
      </c>
      <c r="B15" s="11">
        <v>16</v>
      </c>
      <c r="C15" s="13">
        <f>C14+B15</f>
        <v>32</v>
      </c>
      <c r="D15" s="13">
        <v>2</v>
      </c>
      <c r="F15">
        <v>4</v>
      </c>
      <c r="G15">
        <v>73</v>
      </c>
      <c r="H15" s="10">
        <f t="shared" si="0"/>
        <v>-23</v>
      </c>
    </row>
    <row r="16" spans="1:8" ht="16.5" x14ac:dyDescent="0.25">
      <c r="A16" s="2" t="s">
        <v>7</v>
      </c>
      <c r="B16" s="11">
        <v>30</v>
      </c>
      <c r="C16" s="13">
        <f>B16</f>
        <v>30</v>
      </c>
      <c r="D16" s="13">
        <v>3</v>
      </c>
      <c r="F16" t="s">
        <v>10</v>
      </c>
      <c r="G16">
        <f>SUM(G12:G15)</f>
        <v>263</v>
      </c>
      <c r="H16" s="10">
        <f>SUM(H12:H15)</f>
        <v>-63</v>
      </c>
    </row>
    <row r="17" spans="1:7" ht="16.5" x14ac:dyDescent="0.25">
      <c r="A17" s="2" t="s">
        <v>26</v>
      </c>
      <c r="B17" s="11">
        <v>19</v>
      </c>
      <c r="C17" s="13">
        <f>C16+B17</f>
        <v>49</v>
      </c>
      <c r="D17" s="13">
        <v>3</v>
      </c>
      <c r="F17" t="s">
        <v>45</v>
      </c>
      <c r="G17">
        <f>MAX(G12:G15)</f>
        <v>73</v>
      </c>
    </row>
    <row r="18" spans="1:7" ht="16.5" x14ac:dyDescent="0.25">
      <c r="A18" s="2" t="s">
        <v>27</v>
      </c>
      <c r="B18" s="11">
        <v>22</v>
      </c>
      <c r="C18" s="13">
        <f>B18</f>
        <v>22</v>
      </c>
      <c r="D18" s="13">
        <v>4</v>
      </c>
      <c r="F18" t="s">
        <v>46</v>
      </c>
      <c r="G18" s="16">
        <f>((G17*D25)-G16)/(G17*D25)</f>
        <v>9.9315068493150679E-2</v>
      </c>
    </row>
    <row r="19" spans="1:7" ht="16.5" x14ac:dyDescent="0.25">
      <c r="A19" s="2" t="s">
        <v>28</v>
      </c>
      <c r="B19" s="11">
        <v>27</v>
      </c>
      <c r="C19" s="13">
        <f>C18+B19</f>
        <v>49</v>
      </c>
      <c r="D19" s="13">
        <v>4</v>
      </c>
      <c r="F19" t="s">
        <v>49</v>
      </c>
      <c r="G19" s="17">
        <f>G16/(G16+H16)</f>
        <v>1.3149999999999999</v>
      </c>
    </row>
    <row r="20" spans="1:7" ht="16.5" x14ac:dyDescent="0.25">
      <c r="A20" s="2" t="s">
        <v>29</v>
      </c>
      <c r="B20" s="11">
        <v>29</v>
      </c>
      <c r="C20" s="13">
        <f>B20</f>
        <v>29</v>
      </c>
      <c r="D20" s="13">
        <v>5</v>
      </c>
    </row>
    <row r="21" spans="1:7" ht="16.5" x14ac:dyDescent="0.25">
      <c r="A21" s="2" t="s">
        <v>30</v>
      </c>
      <c r="B21" s="11">
        <v>16</v>
      </c>
      <c r="C21" s="13">
        <f>C20+B21</f>
        <v>45</v>
      </c>
      <c r="D21" s="13">
        <v>5</v>
      </c>
    </row>
    <row r="22" spans="1:7" ht="16.5" x14ac:dyDescent="0.25">
      <c r="A22" s="2" t="s">
        <v>31</v>
      </c>
      <c r="B22" s="11">
        <v>35</v>
      </c>
      <c r="C22" s="13"/>
      <c r="D22" s="13"/>
    </row>
    <row r="23" spans="1:7" ht="16.5" x14ac:dyDescent="0.25">
      <c r="A23" s="9" t="s">
        <v>10</v>
      </c>
      <c r="B23" s="12">
        <f>SUM(B12:B22)</f>
        <v>255</v>
      </c>
      <c r="C23" s="13"/>
      <c r="D23" s="13"/>
    </row>
    <row r="25" spans="1:7" x14ac:dyDescent="0.25">
      <c r="C25" t="s">
        <v>48</v>
      </c>
      <c r="D2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D9CF-7166-4991-859A-176B03603AEE}">
  <dimension ref="A3:E34"/>
  <sheetViews>
    <sheetView tabSelected="1" workbookViewId="0">
      <selection activeCell="B20" sqref="B20"/>
    </sheetView>
  </sheetViews>
  <sheetFormatPr defaultRowHeight="15" x14ac:dyDescent="0.25"/>
  <cols>
    <col min="1" max="1" width="31.28515625" customWidth="1"/>
    <col min="2" max="2" width="113.42578125" style="16" customWidth="1"/>
  </cols>
  <sheetData>
    <row r="3" spans="1:5" x14ac:dyDescent="0.25">
      <c r="A3" s="66" t="s">
        <v>50</v>
      </c>
      <c r="B3" s="67"/>
    </row>
    <row r="4" spans="1:5" x14ac:dyDescent="0.25">
      <c r="A4" s="18" t="s">
        <v>51</v>
      </c>
      <c r="B4" s="19">
        <f>E5*60</f>
        <v>420</v>
      </c>
      <c r="D4" t="s">
        <v>52</v>
      </c>
      <c r="E4">
        <v>3</v>
      </c>
    </row>
    <row r="5" spans="1:5" x14ac:dyDescent="0.25">
      <c r="A5" s="18" t="s">
        <v>53</v>
      </c>
      <c r="B5" s="19">
        <f>E4</f>
        <v>3</v>
      </c>
      <c r="D5" t="s">
        <v>54</v>
      </c>
      <c r="E5">
        <v>7</v>
      </c>
    </row>
    <row r="6" spans="1:5" x14ac:dyDescent="0.25">
      <c r="A6" s="18" t="s">
        <v>55</v>
      </c>
      <c r="B6" s="19">
        <f>B5*B4</f>
        <v>1260</v>
      </c>
      <c r="D6" t="s">
        <v>56</v>
      </c>
      <c r="E6">
        <v>20</v>
      </c>
    </row>
    <row r="7" spans="1:5" x14ac:dyDescent="0.25">
      <c r="A7" s="18" t="s">
        <v>57</v>
      </c>
      <c r="B7" s="19">
        <f>E6*B5</f>
        <v>60</v>
      </c>
      <c r="D7" t="s">
        <v>58</v>
      </c>
      <c r="E7">
        <v>20</v>
      </c>
    </row>
    <row r="8" spans="1:5" x14ac:dyDescent="0.25">
      <c r="A8" s="18" t="s">
        <v>59</v>
      </c>
      <c r="B8" s="19">
        <v>1250</v>
      </c>
      <c r="D8" t="s">
        <v>60</v>
      </c>
      <c r="E8">
        <v>4692</v>
      </c>
    </row>
    <row r="9" spans="1:5" ht="21" x14ac:dyDescent="0.25">
      <c r="A9" s="20" t="s">
        <v>61</v>
      </c>
      <c r="B9" s="68">
        <f>E7</f>
        <v>20</v>
      </c>
      <c r="D9" t="s">
        <v>62</v>
      </c>
      <c r="E9">
        <v>243</v>
      </c>
    </row>
    <row r="10" spans="1:5" ht="21" x14ac:dyDescent="0.25">
      <c r="A10" s="21" t="s">
        <v>63</v>
      </c>
      <c r="B10" s="69"/>
      <c r="D10" t="s">
        <v>64</v>
      </c>
      <c r="E10">
        <v>0</v>
      </c>
    </row>
    <row r="11" spans="1:5" x14ac:dyDescent="0.25">
      <c r="A11" s="22" t="s">
        <v>65</v>
      </c>
      <c r="B11" s="23">
        <v>1203</v>
      </c>
    </row>
    <row r="12" spans="1:5" x14ac:dyDescent="0.25">
      <c r="A12" s="22" t="s">
        <v>66</v>
      </c>
      <c r="B12" s="52">
        <v>0.95399999999999996</v>
      </c>
    </row>
    <row r="13" spans="1:5" x14ac:dyDescent="0.25">
      <c r="A13" s="18"/>
      <c r="B13" s="19"/>
    </row>
    <row r="14" spans="1:5" x14ac:dyDescent="0.25">
      <c r="A14" s="66" t="s">
        <v>67</v>
      </c>
      <c r="B14" s="67"/>
    </row>
    <row r="15" spans="1:5" ht="21" x14ac:dyDescent="0.25">
      <c r="A15" s="18" t="s">
        <v>68</v>
      </c>
      <c r="B15" s="19">
        <f>E8</f>
        <v>4692</v>
      </c>
    </row>
    <row r="16" spans="1:5" x14ac:dyDescent="0.25">
      <c r="A16" s="18" t="s">
        <v>69</v>
      </c>
      <c r="B16" s="19">
        <f>E10</f>
        <v>0</v>
      </c>
    </row>
    <row r="17" spans="1:2" x14ac:dyDescent="0.25">
      <c r="A17" s="18" t="s">
        <v>70</v>
      </c>
      <c r="B17" s="19">
        <f>B16*B11/60</f>
        <v>0</v>
      </c>
    </row>
    <row r="18" spans="1:2" x14ac:dyDescent="0.25">
      <c r="A18" s="22" t="s">
        <v>71</v>
      </c>
      <c r="B18" s="24">
        <v>0.92600000000000005</v>
      </c>
    </row>
    <row r="19" spans="1:2" x14ac:dyDescent="0.25">
      <c r="A19" s="22" t="s">
        <v>72</v>
      </c>
      <c r="B19" s="23">
        <f>B11*(1-B18)</f>
        <v>89.021999999999949</v>
      </c>
    </row>
    <row r="20" spans="1:2" x14ac:dyDescent="0.25">
      <c r="A20" s="22" t="s">
        <v>73</v>
      </c>
      <c r="B20" s="51">
        <v>1082</v>
      </c>
    </row>
    <row r="21" spans="1:2" x14ac:dyDescent="0.25">
      <c r="A21" s="18"/>
      <c r="B21" s="19"/>
    </row>
    <row r="22" spans="1:2" x14ac:dyDescent="0.25">
      <c r="A22" s="66" t="s">
        <v>74</v>
      </c>
      <c r="B22" s="67"/>
    </row>
    <row r="23" spans="1:2" x14ac:dyDescent="0.25">
      <c r="A23" s="18" t="s">
        <v>75</v>
      </c>
      <c r="B23" s="19">
        <f>E9</f>
        <v>243</v>
      </c>
    </row>
    <row r="24" spans="1:2" x14ac:dyDescent="0.25">
      <c r="A24" s="18" t="s">
        <v>76</v>
      </c>
      <c r="B24" s="19">
        <f>B25-B23</f>
        <v>4449</v>
      </c>
    </row>
    <row r="25" spans="1:2" x14ac:dyDescent="0.25">
      <c r="A25" s="18" t="s">
        <v>77</v>
      </c>
      <c r="B25" s="19">
        <f>E8</f>
        <v>4692</v>
      </c>
    </row>
    <row r="26" spans="1:2" x14ac:dyDescent="0.25">
      <c r="A26" s="22" t="s">
        <v>78</v>
      </c>
      <c r="B26" s="24">
        <f>B24/B25</f>
        <v>0.94820971867007675</v>
      </c>
    </row>
    <row r="27" spans="1:2" x14ac:dyDescent="0.25">
      <c r="A27" s="22" t="s">
        <v>79</v>
      </c>
      <c r="B27" s="51">
        <f>B20*(1-B26)</f>
        <v>56.037084398976958</v>
      </c>
    </row>
    <row r="28" spans="1:2" x14ac:dyDescent="0.25">
      <c r="A28" s="25"/>
      <c r="B28" s="19"/>
    </row>
    <row r="29" spans="1:2" x14ac:dyDescent="0.25">
      <c r="A29" s="22" t="s">
        <v>80</v>
      </c>
      <c r="B29" s="23">
        <f>B20-B27</f>
        <v>1025.962915601023</v>
      </c>
    </row>
    <row r="30" spans="1:2" ht="21" x14ac:dyDescent="0.25">
      <c r="A30" s="26" t="s">
        <v>81</v>
      </c>
      <c r="B30" s="70">
        <f>B26*B18*B12</f>
        <v>0.8376522583120205</v>
      </c>
    </row>
    <row r="31" spans="1:2" x14ac:dyDescent="0.25">
      <c r="A31" s="27" t="s">
        <v>82</v>
      </c>
      <c r="B31" s="71"/>
    </row>
    <row r="32" spans="1:2" x14ac:dyDescent="0.25">
      <c r="A32" s="18"/>
      <c r="B32" s="19"/>
    </row>
    <row r="33" spans="1:2" ht="34.15" customHeight="1" x14ac:dyDescent="0.25">
      <c r="A33" s="64" t="s">
        <v>83</v>
      </c>
      <c r="B33" s="65"/>
    </row>
    <row r="34" spans="1:2" x14ac:dyDescent="0.25">
      <c r="A34" s="28" t="s">
        <v>84</v>
      </c>
      <c r="B34" s="29">
        <f>(B23/B25)*1000000</f>
        <v>51790.28132992328</v>
      </c>
    </row>
  </sheetData>
  <mergeCells count="6">
    <mergeCell ref="A33:B33"/>
    <mergeCell ref="A3:B3"/>
    <mergeCell ref="B9:B10"/>
    <mergeCell ref="A14:B14"/>
    <mergeCell ref="A22:B22"/>
    <mergeCell ref="B30:B3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CC43-6BA8-4434-9151-924C5D5664BC}">
  <dimension ref="A1:G51"/>
  <sheetViews>
    <sheetView workbookViewId="0">
      <selection activeCell="G2" sqref="G2"/>
    </sheetView>
  </sheetViews>
  <sheetFormatPr defaultRowHeight="15" x14ac:dyDescent="0.25"/>
  <cols>
    <col min="6" max="6" width="27.5703125" customWidth="1"/>
    <col min="7" max="7" width="30.28515625" customWidth="1"/>
    <col min="10" max="10" width="23.28515625" customWidth="1"/>
  </cols>
  <sheetData>
    <row r="1" spans="1:7" ht="28.5" x14ac:dyDescent="0.25">
      <c r="A1" s="30" t="s">
        <v>85</v>
      </c>
      <c r="B1" s="31" t="s">
        <v>86</v>
      </c>
      <c r="C1" s="31" t="s">
        <v>25</v>
      </c>
      <c r="D1" s="32" t="s">
        <v>87</v>
      </c>
    </row>
    <row r="2" spans="1:7" x14ac:dyDescent="0.25">
      <c r="A2" s="33">
        <v>1</v>
      </c>
      <c r="B2" s="34">
        <v>41</v>
      </c>
      <c r="C2" s="34">
        <v>468</v>
      </c>
      <c r="D2" s="35" t="s">
        <v>4</v>
      </c>
      <c r="F2" t="s">
        <v>88</v>
      </c>
      <c r="G2" s="16">
        <f>CORREL(B2:B51,C2:C51)</f>
        <v>0.17513616065364962</v>
      </c>
    </row>
    <row r="3" spans="1:7" x14ac:dyDescent="0.25">
      <c r="A3" s="33">
        <v>2</v>
      </c>
      <c r="B3" s="34">
        <v>36</v>
      </c>
      <c r="C3" s="34">
        <v>457</v>
      </c>
      <c r="D3" s="35" t="s">
        <v>4</v>
      </c>
    </row>
    <row r="4" spans="1:7" x14ac:dyDescent="0.25">
      <c r="A4" s="33">
        <v>3</v>
      </c>
      <c r="B4" s="34">
        <v>47</v>
      </c>
      <c r="C4" s="34">
        <v>477</v>
      </c>
      <c r="D4" s="35" t="s">
        <v>4</v>
      </c>
    </row>
    <row r="5" spans="1:7" x14ac:dyDescent="0.25">
      <c r="A5" s="33">
        <v>4</v>
      </c>
      <c r="B5" s="34">
        <v>39</v>
      </c>
      <c r="C5" s="34">
        <v>471</v>
      </c>
      <c r="D5" s="35" t="s">
        <v>3</v>
      </c>
    </row>
    <row r="6" spans="1:7" x14ac:dyDescent="0.25">
      <c r="A6" s="33">
        <v>5</v>
      </c>
      <c r="B6" s="34">
        <v>33</v>
      </c>
      <c r="C6" s="34">
        <v>470</v>
      </c>
      <c r="D6" s="35" t="s">
        <v>3</v>
      </c>
    </row>
    <row r="7" spans="1:7" x14ac:dyDescent="0.25">
      <c r="A7" s="33">
        <v>6</v>
      </c>
      <c r="B7" s="34">
        <v>38</v>
      </c>
      <c r="C7" s="34">
        <v>485</v>
      </c>
      <c r="D7" s="35" t="s">
        <v>3</v>
      </c>
    </row>
    <row r="8" spans="1:7" x14ac:dyDescent="0.25">
      <c r="A8" s="33">
        <v>7</v>
      </c>
      <c r="B8" s="34">
        <v>38</v>
      </c>
      <c r="C8" s="34">
        <v>460</v>
      </c>
      <c r="D8" s="35" t="s">
        <v>3</v>
      </c>
    </row>
    <row r="9" spans="1:7" x14ac:dyDescent="0.25">
      <c r="A9" s="33">
        <v>8</v>
      </c>
      <c r="B9" s="34">
        <v>41</v>
      </c>
      <c r="C9" s="34">
        <v>456</v>
      </c>
      <c r="D9" s="35" t="s">
        <v>4</v>
      </c>
    </row>
    <row r="10" spans="1:7" x14ac:dyDescent="0.25">
      <c r="A10" s="33">
        <v>9</v>
      </c>
      <c r="B10" s="34">
        <v>48</v>
      </c>
      <c r="C10" s="34">
        <v>500</v>
      </c>
      <c r="D10" s="35" t="s">
        <v>4</v>
      </c>
    </row>
    <row r="11" spans="1:7" x14ac:dyDescent="0.25">
      <c r="A11" s="33">
        <v>10</v>
      </c>
      <c r="B11" s="34">
        <v>45</v>
      </c>
      <c r="C11" s="34">
        <v>484</v>
      </c>
      <c r="D11" s="35" t="s">
        <v>4</v>
      </c>
    </row>
    <row r="12" spans="1:7" x14ac:dyDescent="0.25">
      <c r="A12" s="33">
        <v>11</v>
      </c>
      <c r="B12" s="34">
        <v>40</v>
      </c>
      <c r="C12" s="34">
        <v>462</v>
      </c>
      <c r="D12" s="35" t="s">
        <v>3</v>
      </c>
    </row>
    <row r="13" spans="1:7" x14ac:dyDescent="0.25">
      <c r="A13" s="33">
        <v>12</v>
      </c>
      <c r="B13" s="34">
        <v>38</v>
      </c>
      <c r="C13" s="34">
        <v>479</v>
      </c>
      <c r="D13" s="35" t="s">
        <v>4</v>
      </c>
    </row>
    <row r="14" spans="1:7" x14ac:dyDescent="0.25">
      <c r="A14" s="33">
        <v>13</v>
      </c>
      <c r="B14" s="34">
        <v>31</v>
      </c>
      <c r="C14" s="34">
        <v>465</v>
      </c>
      <c r="D14" s="35" t="s">
        <v>3</v>
      </c>
    </row>
    <row r="15" spans="1:7" x14ac:dyDescent="0.25">
      <c r="A15" s="33">
        <v>14</v>
      </c>
      <c r="B15" s="34">
        <v>33</v>
      </c>
      <c r="C15" s="34">
        <v>494</v>
      </c>
      <c r="D15" s="35" t="s">
        <v>3</v>
      </c>
    </row>
    <row r="16" spans="1:7" x14ac:dyDescent="0.25">
      <c r="A16" s="33">
        <v>15</v>
      </c>
      <c r="B16" s="34">
        <v>46</v>
      </c>
      <c r="C16" s="34">
        <v>452</v>
      </c>
      <c r="D16" s="35" t="s">
        <v>4</v>
      </c>
    </row>
    <row r="17" spans="1:4" x14ac:dyDescent="0.25">
      <c r="A17" s="33">
        <v>16</v>
      </c>
      <c r="B17" s="34">
        <v>48</v>
      </c>
      <c r="C17" s="34">
        <v>476</v>
      </c>
      <c r="D17" s="35" t="s">
        <v>4</v>
      </c>
    </row>
    <row r="18" spans="1:4" x14ac:dyDescent="0.25">
      <c r="A18" s="33">
        <v>17</v>
      </c>
      <c r="B18" s="34">
        <v>35</v>
      </c>
      <c r="C18" s="34">
        <v>484</v>
      </c>
      <c r="D18" s="35" t="s">
        <v>3</v>
      </c>
    </row>
    <row r="19" spans="1:4" x14ac:dyDescent="0.25">
      <c r="A19" s="33">
        <v>18</v>
      </c>
      <c r="B19" s="34">
        <v>48</v>
      </c>
      <c r="C19" s="34">
        <v>488</v>
      </c>
      <c r="D19" s="35" t="s">
        <v>4</v>
      </c>
    </row>
    <row r="20" spans="1:4" x14ac:dyDescent="0.25">
      <c r="A20" s="33">
        <v>19</v>
      </c>
      <c r="B20" s="34">
        <v>33</v>
      </c>
      <c r="C20" s="34">
        <v>473</v>
      </c>
      <c r="D20" s="35" t="s">
        <v>3</v>
      </c>
    </row>
    <row r="21" spans="1:4" x14ac:dyDescent="0.25">
      <c r="A21" s="33">
        <v>20</v>
      </c>
      <c r="B21" s="34">
        <v>31</v>
      </c>
      <c r="C21" s="34">
        <v>492</v>
      </c>
      <c r="D21" s="35" t="s">
        <v>3</v>
      </c>
    </row>
    <row r="22" spans="1:4" x14ac:dyDescent="0.25">
      <c r="A22" s="33">
        <v>21</v>
      </c>
      <c r="B22" s="34">
        <v>44</v>
      </c>
      <c r="C22" s="34">
        <v>486</v>
      </c>
      <c r="D22" s="35" t="s">
        <v>4</v>
      </c>
    </row>
    <row r="23" spans="1:4" x14ac:dyDescent="0.25">
      <c r="A23" s="33">
        <v>22</v>
      </c>
      <c r="B23" s="34">
        <v>32</v>
      </c>
      <c r="C23" s="34">
        <v>453</v>
      </c>
      <c r="D23" s="35" t="s">
        <v>3</v>
      </c>
    </row>
    <row r="24" spans="1:4" x14ac:dyDescent="0.25">
      <c r="A24" s="33">
        <v>23</v>
      </c>
      <c r="B24" s="34">
        <v>35</v>
      </c>
      <c r="C24" s="34">
        <v>465</v>
      </c>
      <c r="D24" s="35" t="s">
        <v>3</v>
      </c>
    </row>
    <row r="25" spans="1:4" x14ac:dyDescent="0.25">
      <c r="A25" s="33">
        <v>24</v>
      </c>
      <c r="B25" s="34">
        <v>42</v>
      </c>
      <c r="C25" s="34">
        <v>471</v>
      </c>
      <c r="D25" s="35" t="s">
        <v>4</v>
      </c>
    </row>
    <row r="26" spans="1:4" ht="15.75" thickBot="1" x14ac:dyDescent="0.3">
      <c r="A26" s="39">
        <v>25</v>
      </c>
      <c r="B26" s="40">
        <v>39</v>
      </c>
      <c r="C26" s="40">
        <v>485</v>
      </c>
      <c r="D26" s="41" t="s">
        <v>4</v>
      </c>
    </row>
    <row r="27" spans="1:4" x14ac:dyDescent="0.25">
      <c r="A27" s="36">
        <v>26</v>
      </c>
      <c r="B27" s="37">
        <v>30</v>
      </c>
      <c r="C27" s="37">
        <v>452</v>
      </c>
      <c r="D27" s="38" t="s">
        <v>3</v>
      </c>
    </row>
    <row r="28" spans="1:4" x14ac:dyDescent="0.25">
      <c r="A28" s="36">
        <v>27</v>
      </c>
      <c r="B28" s="37">
        <v>30</v>
      </c>
      <c r="C28" s="37">
        <v>455</v>
      </c>
      <c r="D28" s="38" t="s">
        <v>3</v>
      </c>
    </row>
    <row r="29" spans="1:4" x14ac:dyDescent="0.25">
      <c r="A29" s="36">
        <v>28</v>
      </c>
      <c r="B29" s="37">
        <v>48</v>
      </c>
      <c r="C29" s="37">
        <v>466</v>
      </c>
      <c r="D29" s="38" t="s">
        <v>4</v>
      </c>
    </row>
    <row r="30" spans="1:4" x14ac:dyDescent="0.25">
      <c r="A30" s="36">
        <v>29</v>
      </c>
      <c r="B30" s="37">
        <v>34</v>
      </c>
      <c r="C30" s="37">
        <v>456</v>
      </c>
      <c r="D30" s="38" t="s">
        <v>3</v>
      </c>
    </row>
    <row r="31" spans="1:4" x14ac:dyDescent="0.25">
      <c r="A31" s="36">
        <v>30</v>
      </c>
      <c r="B31" s="37">
        <v>37</v>
      </c>
      <c r="C31" s="37">
        <v>485</v>
      </c>
      <c r="D31" s="38" t="s">
        <v>3</v>
      </c>
    </row>
    <row r="32" spans="1:4" x14ac:dyDescent="0.25">
      <c r="A32" s="36">
        <v>31</v>
      </c>
      <c r="B32" s="37">
        <v>38</v>
      </c>
      <c r="C32" s="37">
        <v>462</v>
      </c>
      <c r="D32" s="38" t="s">
        <v>3</v>
      </c>
    </row>
    <row r="33" spans="1:4" x14ac:dyDescent="0.25">
      <c r="A33" s="36">
        <v>32</v>
      </c>
      <c r="B33" s="37">
        <v>37</v>
      </c>
      <c r="C33" s="37">
        <v>486</v>
      </c>
      <c r="D33" s="38" t="s">
        <v>3</v>
      </c>
    </row>
    <row r="34" spans="1:4" x14ac:dyDescent="0.25">
      <c r="A34" s="36">
        <v>33</v>
      </c>
      <c r="B34" s="37">
        <v>38</v>
      </c>
      <c r="C34" s="37">
        <v>470</v>
      </c>
      <c r="D34" s="38" t="s">
        <v>4</v>
      </c>
    </row>
    <row r="35" spans="1:4" x14ac:dyDescent="0.25">
      <c r="A35" s="36">
        <v>34</v>
      </c>
      <c r="B35" s="37">
        <v>42</v>
      </c>
      <c r="C35" s="37">
        <v>465</v>
      </c>
      <c r="D35" s="38" t="s">
        <v>4</v>
      </c>
    </row>
    <row r="36" spans="1:4" x14ac:dyDescent="0.25">
      <c r="A36" s="36">
        <v>35</v>
      </c>
      <c r="B36" s="37">
        <v>30</v>
      </c>
      <c r="C36" s="37">
        <v>470</v>
      </c>
      <c r="D36" s="38" t="s">
        <v>3</v>
      </c>
    </row>
    <row r="37" spans="1:4" x14ac:dyDescent="0.25">
      <c r="A37" s="36">
        <v>36</v>
      </c>
      <c r="B37" s="37">
        <v>37</v>
      </c>
      <c r="C37" s="37">
        <v>479</v>
      </c>
      <c r="D37" s="38" t="s">
        <v>4</v>
      </c>
    </row>
    <row r="38" spans="1:4" x14ac:dyDescent="0.25">
      <c r="A38" s="36">
        <v>37</v>
      </c>
      <c r="B38" s="37">
        <v>45</v>
      </c>
      <c r="C38" s="37">
        <v>475</v>
      </c>
      <c r="D38" s="38" t="s">
        <v>4</v>
      </c>
    </row>
    <row r="39" spans="1:4" x14ac:dyDescent="0.25">
      <c r="A39" s="36">
        <v>38</v>
      </c>
      <c r="B39" s="37">
        <v>42</v>
      </c>
      <c r="C39" s="37">
        <v>486</v>
      </c>
      <c r="D39" s="38" t="s">
        <v>4</v>
      </c>
    </row>
    <row r="40" spans="1:4" x14ac:dyDescent="0.25">
      <c r="A40" s="36">
        <v>39</v>
      </c>
      <c r="B40" s="37">
        <v>37</v>
      </c>
      <c r="C40" s="37">
        <v>497</v>
      </c>
      <c r="D40" s="38" t="s">
        <v>4</v>
      </c>
    </row>
    <row r="41" spans="1:4" x14ac:dyDescent="0.25">
      <c r="A41" s="36">
        <v>40</v>
      </c>
      <c r="B41" s="37">
        <v>45</v>
      </c>
      <c r="C41" s="37">
        <v>463</v>
      </c>
      <c r="D41" s="38" t="s">
        <v>4</v>
      </c>
    </row>
    <row r="42" spans="1:4" x14ac:dyDescent="0.25">
      <c r="A42" s="36">
        <v>41</v>
      </c>
      <c r="B42" s="37">
        <v>42</v>
      </c>
      <c r="C42" s="37">
        <v>490</v>
      </c>
      <c r="D42" s="38" t="s">
        <v>4</v>
      </c>
    </row>
    <row r="43" spans="1:4" x14ac:dyDescent="0.25">
      <c r="A43" s="36">
        <v>42</v>
      </c>
      <c r="B43" s="37">
        <v>42</v>
      </c>
      <c r="C43" s="37">
        <v>460</v>
      </c>
      <c r="D43" s="38" t="s">
        <v>4</v>
      </c>
    </row>
    <row r="44" spans="1:4" x14ac:dyDescent="0.25">
      <c r="A44" s="36">
        <v>43</v>
      </c>
      <c r="B44" s="37">
        <v>45</v>
      </c>
      <c r="C44" s="37">
        <v>483</v>
      </c>
      <c r="D44" s="38" t="s">
        <v>4</v>
      </c>
    </row>
    <row r="45" spans="1:4" x14ac:dyDescent="0.25">
      <c r="A45" s="36">
        <v>44</v>
      </c>
      <c r="B45" s="37">
        <v>43</v>
      </c>
      <c r="C45" s="37">
        <v>476</v>
      </c>
      <c r="D45" s="38" t="s">
        <v>4</v>
      </c>
    </row>
    <row r="46" spans="1:4" x14ac:dyDescent="0.25">
      <c r="A46" s="36">
        <v>45</v>
      </c>
      <c r="B46" s="37">
        <v>34</v>
      </c>
      <c r="C46" s="37">
        <v>490</v>
      </c>
      <c r="D46" s="38" t="s">
        <v>3</v>
      </c>
    </row>
    <row r="47" spans="1:4" x14ac:dyDescent="0.25">
      <c r="A47" s="36">
        <v>46</v>
      </c>
      <c r="B47" s="37">
        <v>38</v>
      </c>
      <c r="C47" s="37">
        <v>459</v>
      </c>
      <c r="D47" s="38" t="s">
        <v>3</v>
      </c>
    </row>
    <row r="48" spans="1:4" x14ac:dyDescent="0.25">
      <c r="A48" s="36">
        <v>47</v>
      </c>
      <c r="B48" s="37">
        <v>44</v>
      </c>
      <c r="C48" s="37">
        <v>480</v>
      </c>
      <c r="D48" s="38" t="s">
        <v>4</v>
      </c>
    </row>
    <row r="49" spans="1:4" x14ac:dyDescent="0.25">
      <c r="A49" s="36">
        <v>48</v>
      </c>
      <c r="B49" s="37">
        <v>35</v>
      </c>
      <c r="C49" s="37">
        <v>459</v>
      </c>
      <c r="D49" s="38" t="s">
        <v>3</v>
      </c>
    </row>
    <row r="50" spans="1:4" x14ac:dyDescent="0.25">
      <c r="A50" s="36">
        <v>49</v>
      </c>
      <c r="B50" s="37">
        <v>39</v>
      </c>
      <c r="C50" s="37">
        <v>464</v>
      </c>
      <c r="D50" s="38" t="s">
        <v>3</v>
      </c>
    </row>
    <row r="51" spans="1:4" ht="15.75" thickBot="1" x14ac:dyDescent="0.3">
      <c r="A51" s="42">
        <v>50</v>
      </c>
      <c r="B51" s="43">
        <v>34</v>
      </c>
      <c r="C51" s="43">
        <v>494</v>
      </c>
      <c r="D51" s="4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A347-9F13-4FE3-BE99-31570BFC6288}">
  <dimension ref="A1:J34"/>
  <sheetViews>
    <sheetView workbookViewId="0">
      <selection activeCell="M2" sqref="M2"/>
    </sheetView>
  </sheetViews>
  <sheetFormatPr defaultColWidth="11.42578125" defaultRowHeight="15" x14ac:dyDescent="0.25"/>
  <cols>
    <col min="1" max="1" width="28.28515625" bestFit="1" customWidth="1"/>
    <col min="2" max="2" width="13.28515625" customWidth="1"/>
    <col min="3" max="5" width="20.7109375" customWidth="1"/>
    <col min="7" max="7" width="15.42578125" customWidth="1"/>
  </cols>
  <sheetData>
    <row r="1" spans="1:10" ht="32.25" thickBot="1" x14ac:dyDescent="0.3">
      <c r="A1" s="45" t="s">
        <v>89</v>
      </c>
      <c r="B1" s="46" t="s">
        <v>90</v>
      </c>
      <c r="C1" s="47" t="s">
        <v>91</v>
      </c>
      <c r="D1" s="47" t="s">
        <v>92</v>
      </c>
      <c r="E1" s="47" t="s">
        <v>93</v>
      </c>
    </row>
    <row r="2" spans="1:10" ht="16.5" thickBot="1" x14ac:dyDescent="0.3">
      <c r="A2" s="72" t="s">
        <v>94</v>
      </c>
      <c r="B2" s="48" t="s">
        <v>95</v>
      </c>
      <c r="C2" s="48">
        <v>54</v>
      </c>
      <c r="D2" s="48">
        <v>41</v>
      </c>
      <c r="E2" s="48">
        <v>12</v>
      </c>
      <c r="G2" t="s">
        <v>105</v>
      </c>
      <c r="H2" t="s">
        <v>10</v>
      </c>
      <c r="I2" t="s">
        <v>106</v>
      </c>
      <c r="J2" t="s">
        <v>107</v>
      </c>
    </row>
    <row r="3" spans="1:10" ht="16.5" thickBot="1" x14ac:dyDescent="0.3">
      <c r="A3" s="73"/>
      <c r="B3" s="48" t="s">
        <v>96</v>
      </c>
      <c r="C3" s="48">
        <v>34</v>
      </c>
      <c r="D3" s="48">
        <v>31</v>
      </c>
      <c r="E3" s="48">
        <v>13</v>
      </c>
      <c r="G3" s="50" t="s">
        <v>108</v>
      </c>
      <c r="H3">
        <f>SUM(D2:D16)</f>
        <v>539</v>
      </c>
      <c r="I3" s="17">
        <f>H3/SUM($H$3:$H$4)</f>
        <v>0.61319681456200226</v>
      </c>
      <c r="J3" s="17">
        <f>I3</f>
        <v>0.61319681456200226</v>
      </c>
    </row>
    <row r="4" spans="1:10" ht="16.5" thickBot="1" x14ac:dyDescent="0.3">
      <c r="A4" s="73"/>
      <c r="B4" s="48" t="s">
        <v>97</v>
      </c>
      <c r="C4" s="48">
        <v>22</v>
      </c>
      <c r="D4" s="48">
        <v>28</v>
      </c>
      <c r="E4" s="48">
        <v>16</v>
      </c>
      <c r="G4" s="50" t="s">
        <v>109</v>
      </c>
      <c r="H4">
        <f>SUM(C2:C16)</f>
        <v>340</v>
      </c>
      <c r="I4" s="17">
        <f>H4/SUM($H$3:$H$4)</f>
        <v>0.38680318543799774</v>
      </c>
      <c r="J4" s="17">
        <f>J3+I4</f>
        <v>1</v>
      </c>
    </row>
    <row r="5" spans="1:10" ht="16.5" thickBot="1" x14ac:dyDescent="0.3">
      <c r="A5" s="73"/>
      <c r="B5" s="48" t="s">
        <v>98</v>
      </c>
      <c r="C5" s="48">
        <v>16</v>
      </c>
      <c r="D5" s="48">
        <v>26</v>
      </c>
      <c r="E5" s="48">
        <v>13</v>
      </c>
    </row>
    <row r="6" spans="1:10" ht="16.5" thickBot="1" x14ac:dyDescent="0.3">
      <c r="A6" s="74"/>
      <c r="B6" s="48" t="s">
        <v>99</v>
      </c>
      <c r="C6" s="48">
        <v>25</v>
      </c>
      <c r="D6" s="48">
        <v>45</v>
      </c>
      <c r="E6" s="48">
        <v>6</v>
      </c>
    </row>
    <row r="7" spans="1:10" ht="16.5" thickBot="1" x14ac:dyDescent="0.3">
      <c r="A7" s="75" t="s">
        <v>100</v>
      </c>
      <c r="B7" s="49" t="s">
        <v>95</v>
      </c>
      <c r="C7" s="49">
        <v>21</v>
      </c>
      <c r="D7" s="49">
        <v>65</v>
      </c>
      <c r="E7" s="49">
        <v>14</v>
      </c>
      <c r="G7" s="50"/>
    </row>
    <row r="8" spans="1:10" ht="16.5" thickBot="1" x14ac:dyDescent="0.3">
      <c r="A8" s="76"/>
      <c r="B8" s="49" t="s">
        <v>96</v>
      </c>
      <c r="C8" s="49">
        <v>12</v>
      </c>
      <c r="D8" s="49">
        <v>16</v>
      </c>
      <c r="E8" s="49">
        <v>8</v>
      </c>
      <c r="G8" s="50"/>
    </row>
    <row r="9" spans="1:10" ht="16.5" thickBot="1" x14ac:dyDescent="0.3">
      <c r="A9" s="76"/>
      <c r="B9" s="49" t="s">
        <v>97</v>
      </c>
      <c r="C9" s="49">
        <v>6</v>
      </c>
      <c r="D9" s="49">
        <v>27</v>
      </c>
      <c r="E9" s="49">
        <v>9</v>
      </c>
      <c r="G9" s="50"/>
    </row>
    <row r="10" spans="1:10" ht="16.5" thickBot="1" x14ac:dyDescent="0.3">
      <c r="A10" s="76"/>
      <c r="B10" s="49" t="s">
        <v>98</v>
      </c>
      <c r="C10" s="49">
        <v>5</v>
      </c>
      <c r="D10" s="49">
        <v>42</v>
      </c>
      <c r="E10" s="49">
        <v>7</v>
      </c>
    </row>
    <row r="11" spans="1:10" ht="16.5" thickBot="1" x14ac:dyDescent="0.3">
      <c r="A11" s="77"/>
      <c r="B11" s="49" t="s">
        <v>99</v>
      </c>
      <c r="C11" s="49">
        <v>7</v>
      </c>
      <c r="D11" s="49">
        <v>17</v>
      </c>
      <c r="E11" s="49">
        <v>3</v>
      </c>
    </row>
    <row r="12" spans="1:10" ht="16.5" thickBot="1" x14ac:dyDescent="0.3">
      <c r="A12" s="72" t="s">
        <v>101</v>
      </c>
      <c r="B12" s="48" t="s">
        <v>95</v>
      </c>
      <c r="C12" s="48">
        <v>39</v>
      </c>
      <c r="D12" s="48">
        <v>45</v>
      </c>
      <c r="E12" s="48">
        <v>25</v>
      </c>
    </row>
    <row r="13" spans="1:10" ht="16.5" thickBot="1" x14ac:dyDescent="0.3">
      <c r="A13" s="73"/>
      <c r="B13" s="48" t="s">
        <v>96</v>
      </c>
      <c r="C13" s="48">
        <v>20</v>
      </c>
      <c r="D13" s="48">
        <v>26</v>
      </c>
      <c r="E13" s="48">
        <v>16</v>
      </c>
    </row>
    <row r="14" spans="1:10" ht="16.5" thickBot="1" x14ac:dyDescent="0.3">
      <c r="A14" s="73"/>
      <c r="B14" s="48" t="s">
        <v>97</v>
      </c>
      <c r="C14" s="48">
        <v>19</v>
      </c>
      <c r="D14" s="48">
        <v>43</v>
      </c>
      <c r="E14" s="48">
        <v>9</v>
      </c>
    </row>
    <row r="15" spans="1:10" ht="16.5" thickBot="1" x14ac:dyDescent="0.3">
      <c r="A15" s="73"/>
      <c r="B15" s="48" t="s">
        <v>98</v>
      </c>
      <c r="C15" s="48">
        <v>22</v>
      </c>
      <c r="D15" s="48">
        <v>54</v>
      </c>
      <c r="E15" s="48">
        <v>6</v>
      </c>
    </row>
    <row r="16" spans="1:10" ht="16.5" thickBot="1" x14ac:dyDescent="0.3">
      <c r="A16" s="74"/>
      <c r="B16" s="48" t="s">
        <v>99</v>
      </c>
      <c r="C16" s="48">
        <v>38</v>
      </c>
      <c r="D16" s="48">
        <v>33</v>
      </c>
      <c r="E16" s="48">
        <v>9</v>
      </c>
    </row>
    <row r="18" spans="1:5" ht="15.75" thickBot="1" x14ac:dyDescent="0.3"/>
    <row r="19" spans="1:5" ht="48" thickBot="1" x14ac:dyDescent="0.3">
      <c r="A19" s="45" t="s">
        <v>89</v>
      </c>
      <c r="B19" s="46" t="s">
        <v>90</v>
      </c>
      <c r="C19" s="47" t="s">
        <v>102</v>
      </c>
      <c r="D19" s="47" t="s">
        <v>103</v>
      </c>
      <c r="E19" s="47" t="s">
        <v>104</v>
      </c>
    </row>
    <row r="20" spans="1:5" ht="16.5" thickBot="1" x14ac:dyDescent="0.3">
      <c r="A20" s="72" t="s">
        <v>94</v>
      </c>
      <c r="B20" s="48" t="s">
        <v>95</v>
      </c>
      <c r="C20" s="48">
        <v>12</v>
      </c>
      <c r="D20" s="48">
        <v>4</v>
      </c>
      <c r="E20" s="48">
        <v>23</v>
      </c>
    </row>
    <row r="21" spans="1:5" ht="16.5" thickBot="1" x14ac:dyDescent="0.3">
      <c r="A21" s="73"/>
      <c r="B21" s="48" t="s">
        <v>96</v>
      </c>
      <c r="C21" s="48">
        <v>7</v>
      </c>
      <c r="D21" s="48">
        <v>2</v>
      </c>
      <c r="E21" s="48">
        <v>18</v>
      </c>
    </row>
    <row r="22" spans="1:5" ht="16.5" thickBot="1" x14ac:dyDescent="0.3">
      <c r="A22" s="73"/>
      <c r="B22" s="48" t="s">
        <v>97</v>
      </c>
      <c r="C22" s="48">
        <v>1</v>
      </c>
      <c r="D22" s="48">
        <v>1</v>
      </c>
      <c r="E22" s="48">
        <v>14</v>
      </c>
    </row>
    <row r="23" spans="1:5" ht="16.5" thickBot="1" x14ac:dyDescent="0.3">
      <c r="A23" s="73"/>
      <c r="B23" s="48" t="s">
        <v>98</v>
      </c>
      <c r="C23" s="48">
        <v>6</v>
      </c>
      <c r="D23" s="48">
        <v>1</v>
      </c>
      <c r="E23" s="48">
        <v>15</v>
      </c>
    </row>
    <row r="24" spans="1:5" ht="16.5" thickBot="1" x14ac:dyDescent="0.3">
      <c r="A24" s="74"/>
      <c r="B24" s="48" t="s">
        <v>99</v>
      </c>
      <c r="C24" s="48">
        <v>4</v>
      </c>
      <c r="D24" s="48">
        <v>3</v>
      </c>
      <c r="E24" s="48">
        <v>22</v>
      </c>
    </row>
    <row r="25" spans="1:5" ht="16.5" thickBot="1" x14ac:dyDescent="0.3">
      <c r="A25" s="75" t="s">
        <v>100</v>
      </c>
      <c r="B25" s="49" t="s">
        <v>95</v>
      </c>
      <c r="C25" s="49">
        <v>4</v>
      </c>
      <c r="D25" s="49">
        <v>3</v>
      </c>
      <c r="E25" s="49">
        <v>18</v>
      </c>
    </row>
    <row r="26" spans="1:5" ht="16.5" thickBot="1" x14ac:dyDescent="0.3">
      <c r="A26" s="76"/>
      <c r="B26" s="49" t="s">
        <v>96</v>
      </c>
      <c r="C26" s="49">
        <v>8</v>
      </c>
      <c r="D26" s="49">
        <v>3</v>
      </c>
      <c r="E26" s="49">
        <v>12</v>
      </c>
    </row>
    <row r="27" spans="1:5" ht="16.5" thickBot="1" x14ac:dyDescent="0.3">
      <c r="A27" s="76"/>
      <c r="B27" s="49" t="s">
        <v>97</v>
      </c>
      <c r="C27" s="49">
        <v>7</v>
      </c>
      <c r="D27" s="49">
        <v>2</v>
      </c>
      <c r="E27" s="49">
        <v>21</v>
      </c>
    </row>
    <row r="28" spans="1:5" ht="16.5" thickBot="1" x14ac:dyDescent="0.3">
      <c r="A28" s="76"/>
      <c r="B28" s="49" t="s">
        <v>98</v>
      </c>
      <c r="C28" s="49">
        <v>8</v>
      </c>
      <c r="D28" s="49">
        <v>3</v>
      </c>
      <c r="E28" s="49">
        <v>21</v>
      </c>
    </row>
    <row r="29" spans="1:5" ht="16.5" thickBot="1" x14ac:dyDescent="0.3">
      <c r="A29" s="77"/>
      <c r="B29" s="49" t="s">
        <v>99</v>
      </c>
      <c r="C29" s="49">
        <v>1</v>
      </c>
      <c r="D29" s="49">
        <v>2</v>
      </c>
      <c r="E29" s="49">
        <v>24</v>
      </c>
    </row>
    <row r="30" spans="1:5" ht="16.5" thickBot="1" x14ac:dyDescent="0.3">
      <c r="A30" s="72" t="s">
        <v>101</v>
      </c>
      <c r="B30" s="48" t="s">
        <v>95</v>
      </c>
      <c r="C30" s="48">
        <v>9</v>
      </c>
      <c r="D30" s="48">
        <v>6</v>
      </c>
      <c r="E30" s="48">
        <v>23</v>
      </c>
    </row>
    <row r="31" spans="1:5" ht="16.5" thickBot="1" x14ac:dyDescent="0.3">
      <c r="A31" s="73"/>
      <c r="B31" s="48" t="s">
        <v>96</v>
      </c>
      <c r="C31" s="48">
        <v>4</v>
      </c>
      <c r="D31" s="48">
        <v>1</v>
      </c>
      <c r="E31" s="48">
        <v>24</v>
      </c>
    </row>
    <row r="32" spans="1:5" ht="16.5" thickBot="1" x14ac:dyDescent="0.3">
      <c r="A32" s="73"/>
      <c r="B32" s="48" t="s">
        <v>97</v>
      </c>
      <c r="C32" s="48">
        <v>4</v>
      </c>
      <c r="D32" s="48">
        <v>2</v>
      </c>
      <c r="E32" s="48">
        <v>10</v>
      </c>
    </row>
    <row r="33" spans="1:5" ht="16.5" thickBot="1" x14ac:dyDescent="0.3">
      <c r="A33" s="73"/>
      <c r="B33" s="48" t="s">
        <v>98</v>
      </c>
      <c r="C33" s="48">
        <v>4</v>
      </c>
      <c r="D33" s="48">
        <v>1</v>
      </c>
      <c r="E33" s="48">
        <v>14</v>
      </c>
    </row>
    <row r="34" spans="1:5" ht="16.5" thickBot="1" x14ac:dyDescent="0.3">
      <c r="A34" s="74"/>
      <c r="B34" s="48" t="s">
        <v>99</v>
      </c>
      <c r="C34" s="48">
        <v>3</v>
      </c>
      <c r="D34" s="48">
        <v>3</v>
      </c>
      <c r="E34" s="48">
        <v>22</v>
      </c>
    </row>
  </sheetData>
  <mergeCells count="6">
    <mergeCell ref="A30:A34"/>
    <mergeCell ref="A2:A6"/>
    <mergeCell ref="A7:A11"/>
    <mergeCell ref="A12:A16"/>
    <mergeCell ref="A20:A24"/>
    <mergeCell ref="A25:A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Tradicional vs Lean</vt:lpstr>
      <vt:lpstr>Balanceo de operaciones</vt:lpstr>
      <vt:lpstr>OEE</vt:lpstr>
      <vt:lpstr>Estratificacion</vt:lpstr>
      <vt:lpstr>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dcterms:created xsi:type="dcterms:W3CDTF">2015-06-05T18:17:20Z</dcterms:created>
  <dcterms:modified xsi:type="dcterms:W3CDTF">2021-06-27T07:56:05Z</dcterms:modified>
</cp:coreProperties>
</file>