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FilosofiasMetodologias/Practicas/AEC2/"/>
    </mc:Choice>
  </mc:AlternateContent>
  <xr:revisionPtr revIDLastSave="31" documentId="8_{86EBE97C-7220-4338-9973-21983FEEB610}" xr6:coauthVersionLast="46" xr6:coauthVersionMax="46" xr10:uidLastSave="{08D602E8-A8FD-453C-9E0E-F1FC0C8F5899}"/>
  <bookViews>
    <workbookView xWindow="384" yWindow="840" windowWidth="30960" windowHeight="12312" xr2:uid="{DEB7EC87-6465-47F7-9CFB-D31632D667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2" l="1"/>
  <c r="B25" i="2"/>
  <c r="B24" i="2"/>
  <c r="B16" i="2"/>
  <c r="B17" i="2" s="1"/>
  <c r="B10" i="2"/>
  <c r="B27" i="1"/>
  <c r="B30" i="1"/>
  <c r="B26" i="1"/>
  <c r="B19" i="1"/>
  <c r="B12" i="1"/>
  <c r="B18" i="1"/>
  <c r="B23" i="2"/>
  <c r="B21" i="2"/>
  <c r="B32" i="2" s="1"/>
  <c r="B14" i="2"/>
  <c r="B13" i="2"/>
  <c r="B7" i="2"/>
  <c r="B3" i="2"/>
  <c r="B4" i="2" s="1"/>
  <c r="B2" i="2"/>
  <c r="B25" i="1"/>
  <c r="B23" i="1"/>
  <c r="B16" i="1"/>
  <c r="B15" i="1"/>
  <c r="B9" i="1"/>
  <c r="B5" i="1"/>
  <c r="B7" i="1" s="1"/>
  <c r="B4" i="1"/>
  <c r="B34" i="1" l="1"/>
  <c r="B6" i="1"/>
  <c r="B5" i="2"/>
  <c r="B6" i="2" s="1"/>
  <c r="B9" i="2" s="1"/>
  <c r="B22" i="2"/>
  <c r="B24" i="1"/>
  <c r="B8" i="1"/>
  <c r="B11" i="1" s="1"/>
  <c r="B17" i="1" s="1"/>
  <c r="B20" i="1" s="1"/>
  <c r="B15" i="2" l="1"/>
  <c r="B18" i="2" s="1"/>
  <c r="B29" i="1"/>
  <c r="B27" i="2" l="1"/>
</calcChain>
</file>

<file path=xl/sharedStrings.xml><?xml version="1.0" encoding="utf-8"?>
<sst xmlns="http://schemas.openxmlformats.org/spreadsheetml/2006/main" count="70" uniqueCount="35">
  <si>
    <t>DISPONIBILIDAD</t>
  </si>
  <si>
    <t>Tiempo por turno (min)</t>
  </si>
  <si>
    <t>N.º turnos</t>
  </si>
  <si>
    <t>Tiempo total (min)</t>
  </si>
  <si>
    <t>Descanso (min)</t>
  </si>
  <si>
    <t>Tiempo total disponible (min)</t>
  </si>
  <si>
    <t>Otros tiempos de parada: Averías, reuniones,</t>
  </si>
  <si>
    <t>falta de material, cambios de producto, etc.: (min)</t>
  </si>
  <si>
    <t>Tiempo utilizado (min)</t>
  </si>
  <si>
    <t>Indice disponibilidad (%)</t>
  </si>
  <si>
    <t>EFICIENCIA</t>
  </si>
  <si>
    <t>N.º total de piezas producidas (buenas y malas):</t>
  </si>
  <si>
    <t>Cadencia ideal (a máximo) (piezas/hora):</t>
  </si>
  <si>
    <t>Piezas máximas teóricas</t>
  </si>
  <si>
    <t>Indice de Eficiencia  (%)</t>
  </si>
  <si>
    <t>Tiempo perdido por ineficiencias (min)</t>
  </si>
  <si>
    <t>Tiempo neto operativo (min)</t>
  </si>
  <si>
    <t>CALIDAD</t>
  </si>
  <si>
    <t>N.º total de piezas defectuosas</t>
  </si>
  <si>
    <t>N.º total de piezas buenas</t>
  </si>
  <si>
    <t>N.º total de piezas producidas</t>
  </si>
  <si>
    <t>Índice de Calidad (%)</t>
  </si>
  <si>
    <t>Tiempo por pérdidas de calidad (min)</t>
  </si>
  <si>
    <t>Tiempo efectivo real (min)</t>
  </si>
  <si>
    <t>OEE (OVERALL EFFICIENCY EQUIPMENT):</t>
  </si>
  <si>
    <t>EFICIENCIA GLOBAL DE EQUIPOS (%)</t>
  </si>
  <si>
    <t>PPM INTERNAS (PARTS PER MILION): PARTES POR MILLÓN</t>
  </si>
  <si>
    <t>PPM INTERNAS (ppm)</t>
  </si>
  <si>
    <t>turnos</t>
  </si>
  <si>
    <t>tiempo</t>
  </si>
  <si>
    <t>descanso</t>
  </si>
  <si>
    <t>parada</t>
  </si>
  <si>
    <t>prod</t>
  </si>
  <si>
    <t>def</t>
  </si>
  <si>
    <t>cadencia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</si>
</sst>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42424"/>
      <name val="Segoe UI"/>
      <family val="2"/>
    </font>
    <font>
      <b/>
      <sz val="8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FE7F5"/>
        <bgColor indexed="64"/>
      </patternFill>
    </fill>
    <fill>
      <patternFill patternType="solid">
        <fgColor rgb="FFE6E6FF"/>
        <bgColor indexed="64"/>
      </patternFill>
    </fill>
    <fill>
      <patternFill patternType="solid">
        <fgColor rgb="FFAEC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0" fillId="0" borderId="4" xfId="0" applyNumberFormat="1" applyBorder="1"/>
    <xf numFmtId="2" fontId="0" fillId="0" borderId="0" xfId="0" applyNumberFormat="1"/>
    <xf numFmtId="10" fontId="1" fillId="3" borderId="1" xfId="0" applyNumberFormat="1" applyFont="1" applyFill="1" applyBorder="1" applyAlignment="1">
      <alignment horizontal="center" vertical="center" wrapText="1"/>
    </xf>
    <xf numFmtId="10" fontId="1" fillId="3" borderId="5" xfId="0" applyNumberFormat="1" applyFont="1" applyFill="1" applyBorder="1" applyAlignment="1">
      <alignment horizontal="center" vertical="center" wrapText="1"/>
    </xf>
    <xf numFmtId="10" fontId="1" fillId="3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6.emf"/><Relationship Id="rId7" Type="http://schemas.openxmlformats.org/officeDocument/2006/relationships/image" Target="../media/image4.emf"/><Relationship Id="rId2" Type="http://schemas.openxmlformats.org/officeDocument/2006/relationships/image" Target="../media/image8.emf"/><Relationship Id="rId1" Type="http://schemas.openxmlformats.org/officeDocument/2006/relationships/image" Target="../media/image3.emf"/><Relationship Id="rId6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</xdr:col>
          <xdr:colOff>335280</xdr:colOff>
          <xdr:row>4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3160947-52F2-45EF-8D05-8CDBC6877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</xdr:col>
          <xdr:colOff>213360</xdr:colOff>
          <xdr:row>5</xdr:row>
          <xdr:rowOff>45720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9465A93-A7B5-4445-B2E7-C74CC0FA8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396240</xdr:colOff>
          <xdr:row>6</xdr:row>
          <xdr:rowOff>45720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2E649A0-A942-406F-9A2F-EB12AB69C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274320</xdr:colOff>
          <xdr:row>7</xdr:row>
          <xdr:rowOff>45720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960616A-FF11-40DD-B4B6-EF02C09FF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396240</xdr:colOff>
          <xdr:row>8</xdr:row>
          <xdr:rowOff>45720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1B1A6705-F64E-4D12-929F-6DF1D2E06B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1</xdr:col>
          <xdr:colOff>274320</xdr:colOff>
          <xdr:row>9</xdr:row>
          <xdr:rowOff>45720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B99FA1D7-9DA6-4838-96C0-7BA3139D6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396240</xdr:colOff>
          <xdr:row>11</xdr:row>
          <xdr:rowOff>45720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EC3D9999-5A54-4369-9C89-82ED84C571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1</xdr:col>
          <xdr:colOff>396240</xdr:colOff>
          <xdr:row>12</xdr:row>
          <xdr:rowOff>45720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A852A1F1-C890-4A6E-BCD1-4DD52DA9F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1</xdr:col>
          <xdr:colOff>457200</xdr:colOff>
          <xdr:row>14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7B5BED7-B733-4F8C-810B-1905A63CFA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335280</xdr:colOff>
          <xdr:row>16</xdr:row>
          <xdr:rowOff>45720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5AE12367-DBC6-4798-B272-EEB76D634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1</xdr:col>
          <xdr:colOff>457200</xdr:colOff>
          <xdr:row>17</xdr:row>
          <xdr:rowOff>45720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12D143F4-648C-44CD-B5A2-B2E05CD9FA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457200</xdr:colOff>
          <xdr:row>18</xdr:row>
          <xdr:rowOff>45720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092BF9E-DDC9-4E33-91E8-44C69311A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518160</xdr:colOff>
          <xdr:row>19</xdr:row>
          <xdr:rowOff>45720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73622675-CC84-4A8D-B242-3984F7D6AE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1</xdr:col>
          <xdr:colOff>579120</xdr:colOff>
          <xdr:row>20</xdr:row>
          <xdr:rowOff>45720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ED9C400C-20F0-46E0-8B1D-A1CFEF9D32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335280</xdr:colOff>
          <xdr:row>23</xdr:row>
          <xdr:rowOff>45720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7A1C8487-3B87-467C-9804-39AD05A767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1</xdr:col>
          <xdr:colOff>457200</xdr:colOff>
          <xdr:row>24</xdr:row>
          <xdr:rowOff>45720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F6E2E7E4-4806-4B8C-A876-C4BBA6F360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1</xdr:col>
          <xdr:colOff>457200</xdr:colOff>
          <xdr:row>25</xdr:row>
          <xdr:rowOff>45720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866AD598-AB3A-4BEB-AEB4-A5BA2391F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1</xdr:col>
          <xdr:colOff>457200</xdr:colOff>
          <xdr:row>26</xdr:row>
          <xdr:rowOff>45720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FF0A127-5988-4F74-A0BF-C28DE8199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1</xdr:col>
          <xdr:colOff>457200</xdr:colOff>
          <xdr:row>27</xdr:row>
          <xdr:rowOff>45720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A260F231-4310-43AF-ACAF-824C5734A3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640080</xdr:colOff>
          <xdr:row>29</xdr:row>
          <xdr:rowOff>45720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8DF73352-2738-4C14-9186-EC605E865E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0</xdr:rowOff>
        </xdr:from>
        <xdr:to>
          <xdr:col>1</xdr:col>
          <xdr:colOff>457200</xdr:colOff>
          <xdr:row>30</xdr:row>
          <xdr:rowOff>45720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8D4709B2-E44B-411D-8662-91A634550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3.emf"/><Relationship Id="rId18" Type="http://schemas.openxmlformats.org/officeDocument/2006/relationships/control" Target="../activeX/activeX10.xml"/><Relationship Id="rId26" Type="http://schemas.openxmlformats.org/officeDocument/2006/relationships/image" Target="../media/image7.emf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3.xml"/><Relationship Id="rId7" Type="http://schemas.openxmlformats.org/officeDocument/2006/relationships/image" Target="../media/image2.emf"/><Relationship Id="rId12" Type="http://schemas.openxmlformats.org/officeDocument/2006/relationships/control" Target="../activeX/activeX7.xml"/><Relationship Id="rId17" Type="http://schemas.openxmlformats.org/officeDocument/2006/relationships/image" Target="../media/image5.emf"/><Relationship Id="rId25" Type="http://schemas.openxmlformats.org/officeDocument/2006/relationships/control" Target="../activeX/activeX16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9.xml"/><Relationship Id="rId20" Type="http://schemas.openxmlformats.org/officeDocument/2006/relationships/control" Target="../activeX/activeX12.xml"/><Relationship Id="rId29" Type="http://schemas.openxmlformats.org/officeDocument/2006/relationships/control" Target="../activeX/activeX1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24" Type="http://schemas.openxmlformats.org/officeDocument/2006/relationships/control" Target="../activeX/activeX15.xml"/><Relationship Id="rId32" Type="http://schemas.openxmlformats.org/officeDocument/2006/relationships/control" Target="../activeX/activeX21.xml"/><Relationship Id="rId5" Type="http://schemas.openxmlformats.org/officeDocument/2006/relationships/image" Target="../media/image1.emf"/><Relationship Id="rId15" Type="http://schemas.openxmlformats.org/officeDocument/2006/relationships/image" Target="../media/image4.emf"/><Relationship Id="rId23" Type="http://schemas.openxmlformats.org/officeDocument/2006/relationships/image" Target="../media/image6.emf"/><Relationship Id="rId28" Type="http://schemas.openxmlformats.org/officeDocument/2006/relationships/control" Target="../activeX/activeX18.xml"/><Relationship Id="rId10" Type="http://schemas.openxmlformats.org/officeDocument/2006/relationships/control" Target="../activeX/activeX5.xml"/><Relationship Id="rId19" Type="http://schemas.openxmlformats.org/officeDocument/2006/relationships/control" Target="../activeX/activeX11.xml"/><Relationship Id="rId31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8.xml"/><Relationship Id="rId22" Type="http://schemas.openxmlformats.org/officeDocument/2006/relationships/control" Target="../activeX/activeX14.xml"/><Relationship Id="rId27" Type="http://schemas.openxmlformats.org/officeDocument/2006/relationships/control" Target="../activeX/activeX17.xml"/><Relationship Id="rId30" Type="http://schemas.openxmlformats.org/officeDocument/2006/relationships/control" Target="../activeX/activeX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425B-DABB-4EAE-AA9F-06567DF646D2}">
  <sheetPr codeName="Sheet1"/>
  <dimension ref="A3:E34"/>
  <sheetViews>
    <sheetView tabSelected="1" workbookViewId="0">
      <selection activeCell="B30" sqref="B30:B31"/>
    </sheetView>
  </sheetViews>
  <sheetFormatPr defaultRowHeight="14.4" x14ac:dyDescent="0.3"/>
  <cols>
    <col min="1" max="1" width="31.21875" customWidth="1"/>
    <col min="2" max="2" width="113.44140625" style="18" customWidth="1"/>
  </cols>
  <sheetData>
    <row r="3" spans="1:5" x14ac:dyDescent="0.3">
      <c r="A3" s="2" t="s">
        <v>0</v>
      </c>
      <c r="B3" s="3"/>
    </row>
    <row r="4" spans="1:5" x14ac:dyDescent="0.3">
      <c r="A4" s="1" t="s">
        <v>1</v>
      </c>
      <c r="B4" s="13">
        <f>E5*60</f>
        <v>720</v>
      </c>
      <c r="D4" t="s">
        <v>28</v>
      </c>
      <c r="E4">
        <v>2</v>
      </c>
    </row>
    <row r="5" spans="1:5" x14ac:dyDescent="0.3">
      <c r="A5" s="1" t="s">
        <v>2</v>
      </c>
      <c r="B5" s="13">
        <f>E4</f>
        <v>2</v>
      </c>
      <c r="D5" t="s">
        <v>29</v>
      </c>
      <c r="E5">
        <v>12</v>
      </c>
    </row>
    <row r="6" spans="1:5" x14ac:dyDescent="0.3">
      <c r="A6" s="1" t="s">
        <v>3</v>
      </c>
      <c r="B6" s="13">
        <f>B5*B4</f>
        <v>1440</v>
      </c>
      <c r="D6" t="s">
        <v>30</v>
      </c>
      <c r="E6">
        <v>45</v>
      </c>
    </row>
    <row r="7" spans="1:5" x14ac:dyDescent="0.3">
      <c r="A7" s="1" t="s">
        <v>4</v>
      </c>
      <c r="B7" s="13">
        <f>E6*B5</f>
        <v>90</v>
      </c>
      <c r="D7" t="s">
        <v>31</v>
      </c>
      <c r="E7">
        <v>47</v>
      </c>
    </row>
    <row r="8" spans="1:5" x14ac:dyDescent="0.3">
      <c r="A8" s="1" t="s">
        <v>5</v>
      </c>
      <c r="B8" s="13">
        <f>B6-B7</f>
        <v>1350</v>
      </c>
      <c r="D8" t="s">
        <v>32</v>
      </c>
      <c r="E8">
        <v>10950</v>
      </c>
    </row>
    <row r="9" spans="1:5" x14ac:dyDescent="0.3">
      <c r="A9" s="5" t="s">
        <v>6</v>
      </c>
      <c r="B9" s="14">
        <f>E7</f>
        <v>47</v>
      </c>
      <c r="D9" t="s">
        <v>33</v>
      </c>
      <c r="E9">
        <v>300</v>
      </c>
    </row>
    <row r="10" spans="1:5" ht="25.2" customHeight="1" x14ac:dyDescent="0.3">
      <c r="A10" s="6" t="s">
        <v>7</v>
      </c>
      <c r="B10" s="15"/>
      <c r="D10" t="s">
        <v>34</v>
      </c>
      <c r="E10">
        <v>550</v>
      </c>
    </row>
    <row r="11" spans="1:5" x14ac:dyDescent="0.3">
      <c r="A11" s="7" t="s">
        <v>8</v>
      </c>
      <c r="B11" s="16">
        <f>B8-B9</f>
        <v>1303</v>
      </c>
    </row>
    <row r="12" spans="1:5" x14ac:dyDescent="0.3">
      <c r="A12" s="7" t="s">
        <v>9</v>
      </c>
      <c r="B12" s="19">
        <f>B11/B8</f>
        <v>0.96518518518518515</v>
      </c>
    </row>
    <row r="13" spans="1:5" x14ac:dyDescent="0.3">
      <c r="A13" s="1"/>
      <c r="B13" s="13"/>
    </row>
    <row r="14" spans="1:5" x14ac:dyDescent="0.3">
      <c r="A14" s="2" t="s">
        <v>10</v>
      </c>
      <c r="B14" s="3"/>
    </row>
    <row r="15" spans="1:5" ht="22.8" x14ac:dyDescent="0.3">
      <c r="A15" s="1" t="s">
        <v>11</v>
      </c>
      <c r="B15" s="13">
        <f>E8</f>
        <v>10950</v>
      </c>
    </row>
    <row r="16" spans="1:5" x14ac:dyDescent="0.3">
      <c r="A16" s="1" t="s">
        <v>12</v>
      </c>
      <c r="B16" s="13">
        <f>E10</f>
        <v>550</v>
      </c>
    </row>
    <row r="17" spans="1:2" x14ac:dyDescent="0.3">
      <c r="A17" s="1" t="s">
        <v>13</v>
      </c>
      <c r="B17" s="13">
        <f>B16*B11/60</f>
        <v>11944.166666666666</v>
      </c>
    </row>
    <row r="18" spans="1:2" x14ac:dyDescent="0.3">
      <c r="A18" s="7" t="s">
        <v>14</v>
      </c>
      <c r="B18" s="19">
        <f>B15/B17</f>
        <v>0.91676550617456221</v>
      </c>
    </row>
    <row r="19" spans="1:2" x14ac:dyDescent="0.3">
      <c r="A19" s="7" t="s">
        <v>15</v>
      </c>
      <c r="B19" s="16">
        <f>B11*(1-B18)</f>
        <v>108.45454545454544</v>
      </c>
    </row>
    <row r="20" spans="1:2" x14ac:dyDescent="0.3">
      <c r="A20" s="7" t="s">
        <v>16</v>
      </c>
      <c r="B20" s="16">
        <f>B11-B19</f>
        <v>1194.5454545454545</v>
      </c>
    </row>
    <row r="21" spans="1:2" x14ac:dyDescent="0.3">
      <c r="A21" s="1"/>
      <c r="B21" s="13"/>
    </row>
    <row r="22" spans="1:2" x14ac:dyDescent="0.3">
      <c r="A22" s="2" t="s">
        <v>17</v>
      </c>
      <c r="B22" s="3"/>
    </row>
    <row r="23" spans="1:2" x14ac:dyDescent="0.3">
      <c r="A23" s="1" t="s">
        <v>18</v>
      </c>
      <c r="B23" s="13">
        <f>E9</f>
        <v>300</v>
      </c>
    </row>
    <row r="24" spans="1:2" x14ac:dyDescent="0.3">
      <c r="A24" s="1" t="s">
        <v>19</v>
      </c>
      <c r="B24" s="13">
        <f>B25-B23</f>
        <v>10650</v>
      </c>
    </row>
    <row r="25" spans="1:2" x14ac:dyDescent="0.3">
      <c r="A25" s="1" t="s">
        <v>20</v>
      </c>
      <c r="B25" s="13">
        <f>E8</f>
        <v>10950</v>
      </c>
    </row>
    <row r="26" spans="1:2" x14ac:dyDescent="0.3">
      <c r="A26" s="7" t="s">
        <v>21</v>
      </c>
      <c r="B26" s="19">
        <f>B24/B25</f>
        <v>0.9726027397260274</v>
      </c>
    </row>
    <row r="27" spans="1:2" x14ac:dyDescent="0.3">
      <c r="A27" s="7" t="s">
        <v>22</v>
      </c>
      <c r="B27" s="16">
        <f>B20*(1-B26)</f>
        <v>32.727272727272727</v>
      </c>
    </row>
    <row r="28" spans="1:2" x14ac:dyDescent="0.3">
      <c r="A28" s="4"/>
      <c r="B28" s="13"/>
    </row>
    <row r="29" spans="1:2" x14ac:dyDescent="0.3">
      <c r="A29" s="7" t="s">
        <v>23</v>
      </c>
      <c r="B29" s="16">
        <f>B20-B27</f>
        <v>1161.8181818181818</v>
      </c>
    </row>
    <row r="30" spans="1:2" x14ac:dyDescent="0.3">
      <c r="A30" s="8" t="s">
        <v>24</v>
      </c>
      <c r="B30" s="20">
        <f>B26*B18*B12</f>
        <v>0.86060606060606049</v>
      </c>
    </row>
    <row r="31" spans="1:2" ht="23.4" customHeight="1" x14ac:dyDescent="0.3">
      <c r="A31" s="9" t="s">
        <v>25</v>
      </c>
      <c r="B31" s="21"/>
    </row>
    <row r="32" spans="1:2" x14ac:dyDescent="0.3">
      <c r="A32" s="1"/>
      <c r="B32" s="13"/>
    </row>
    <row r="33" spans="1:2" ht="34.200000000000003" customHeight="1" x14ac:dyDescent="0.3">
      <c r="A33" s="11" t="s">
        <v>26</v>
      </c>
      <c r="B33" s="12"/>
    </row>
    <row r="34" spans="1:2" ht="34.200000000000003" x14ac:dyDescent="0.3">
      <c r="A34" s="10" t="s">
        <v>27</v>
      </c>
      <c r="B34" s="17">
        <f>(B23/B25)*1000000</f>
        <v>27397.260273972603</v>
      </c>
    </row>
  </sheetData>
  <mergeCells count="6">
    <mergeCell ref="A3:B3"/>
    <mergeCell ref="B9:B10"/>
    <mergeCell ref="A14:B14"/>
    <mergeCell ref="A22:B22"/>
    <mergeCell ref="B30:B31"/>
    <mergeCell ref="A33:B33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45" r:id="rId4" name="Control 21">
          <controlPr defaultSize="0" r:id="rId5">
            <anchor moveWithCells="1">
              <from>
                <xdr:col>1</xdr:col>
                <xdr:colOff>0</xdr:colOff>
                <xdr:row>29</xdr:row>
                <xdr:rowOff>0</xdr:rowOff>
              </from>
              <to>
                <xdr:col>1</xdr:col>
                <xdr:colOff>457200</xdr:colOff>
                <xdr:row>30</xdr:row>
                <xdr:rowOff>45720</xdr:rowOff>
              </to>
            </anchor>
          </controlPr>
        </control>
      </mc:Choice>
      <mc:Fallback>
        <control shapeId="1045" r:id="rId4" name="Control 21"/>
      </mc:Fallback>
    </mc:AlternateContent>
    <mc:AlternateContent xmlns:mc="http://schemas.openxmlformats.org/markup-compatibility/2006">
      <mc:Choice Requires="x14">
        <control shapeId="1044" r:id="rId6" name="Control 20">
          <controlPr defaultSize="0" r:id="rId7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640080</xdr:colOff>
                <xdr:row>29</xdr:row>
                <xdr:rowOff>45720</xdr:rowOff>
              </to>
            </anchor>
          </controlPr>
        </control>
      </mc:Choice>
      <mc:Fallback>
        <control shapeId="1044" r:id="rId6" name="Control 20"/>
      </mc:Fallback>
    </mc:AlternateContent>
    <mc:AlternateContent xmlns:mc="http://schemas.openxmlformats.org/markup-compatibility/2006">
      <mc:Choice Requires="x14">
        <control shapeId="1043" r:id="rId8" name="Control 19">
          <controlPr defaultSize="0" r:id="rId5">
            <anchor moveWithCells="1">
              <from>
                <xdr:col>1</xdr:col>
                <xdr:colOff>0</xdr:colOff>
                <xdr:row>26</xdr:row>
                <xdr:rowOff>0</xdr:rowOff>
              </from>
              <to>
                <xdr:col>1</xdr:col>
                <xdr:colOff>457200</xdr:colOff>
                <xdr:row>27</xdr:row>
                <xdr:rowOff>45720</xdr:rowOff>
              </to>
            </anchor>
          </controlPr>
        </control>
      </mc:Choice>
      <mc:Fallback>
        <control shapeId="1043" r:id="rId8" name="Control 19"/>
      </mc:Fallback>
    </mc:AlternateContent>
    <mc:AlternateContent xmlns:mc="http://schemas.openxmlformats.org/markup-compatibility/2006">
      <mc:Choice Requires="x14">
        <control shapeId="1042" r:id="rId9" name="Control 18">
          <controlPr defaultSize="0" r:id="rId5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1</xdr:col>
                <xdr:colOff>457200</xdr:colOff>
                <xdr:row>26</xdr:row>
                <xdr:rowOff>45720</xdr:rowOff>
              </to>
            </anchor>
          </controlPr>
        </control>
      </mc:Choice>
      <mc:Fallback>
        <control shapeId="1042" r:id="rId9" name="Control 18"/>
      </mc:Fallback>
    </mc:AlternateContent>
    <mc:AlternateContent xmlns:mc="http://schemas.openxmlformats.org/markup-compatibility/2006">
      <mc:Choice Requires="x14">
        <control shapeId="1041" r:id="rId10" name="Control 17">
          <controlPr defaultSize="0" r:id="rId5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457200</xdr:colOff>
                <xdr:row>25</xdr:row>
                <xdr:rowOff>45720</xdr:rowOff>
              </to>
            </anchor>
          </controlPr>
        </control>
      </mc:Choice>
      <mc:Fallback>
        <control shapeId="1041" r:id="rId10" name="Control 17"/>
      </mc:Fallback>
    </mc:AlternateContent>
    <mc:AlternateContent xmlns:mc="http://schemas.openxmlformats.org/markup-compatibility/2006">
      <mc:Choice Requires="x14">
        <control shapeId="1040" r:id="rId11" name="Control 16">
          <controlPr defaultSize="0" r:id="rId5">
            <anchor moveWithCells="1">
              <from>
                <xdr:col>1</xdr:col>
                <xdr:colOff>0</xdr:colOff>
                <xdr:row>23</xdr:row>
                <xdr:rowOff>0</xdr:rowOff>
              </from>
              <to>
                <xdr:col>1</xdr:col>
                <xdr:colOff>457200</xdr:colOff>
                <xdr:row>24</xdr:row>
                <xdr:rowOff>45720</xdr:rowOff>
              </to>
            </anchor>
          </controlPr>
        </control>
      </mc:Choice>
      <mc:Fallback>
        <control shapeId="1040" r:id="rId11" name="Control 16"/>
      </mc:Fallback>
    </mc:AlternateContent>
    <mc:AlternateContent xmlns:mc="http://schemas.openxmlformats.org/markup-compatibility/2006">
      <mc:Choice Requires="x14">
        <control shapeId="1039" r:id="rId12" name="Control 15">
          <controlPr defaultSize="0" r:id="rId13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335280</xdr:colOff>
                <xdr:row>23</xdr:row>
                <xdr:rowOff>45720</xdr:rowOff>
              </to>
            </anchor>
          </controlPr>
        </control>
      </mc:Choice>
      <mc:Fallback>
        <control shapeId="1039" r:id="rId12" name="Control 15"/>
      </mc:Fallback>
    </mc:AlternateContent>
    <mc:AlternateContent xmlns:mc="http://schemas.openxmlformats.org/markup-compatibility/2006">
      <mc:Choice Requires="x14">
        <control shapeId="1038" r:id="rId14" name="Control 14">
          <controlPr defaultSize="0" r:id="rId15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579120</xdr:colOff>
                <xdr:row>20</xdr:row>
                <xdr:rowOff>45720</xdr:rowOff>
              </to>
            </anchor>
          </controlPr>
        </control>
      </mc:Choice>
      <mc:Fallback>
        <control shapeId="1038" r:id="rId14" name="Control 14"/>
      </mc:Fallback>
    </mc:AlternateContent>
    <mc:AlternateContent xmlns:mc="http://schemas.openxmlformats.org/markup-compatibility/2006">
      <mc:Choice Requires="x14">
        <control shapeId="1037" r:id="rId16" name="Control 13">
          <controlPr defaultSize="0" r:id="rId17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518160</xdr:colOff>
                <xdr:row>19</xdr:row>
                <xdr:rowOff>45720</xdr:rowOff>
              </to>
            </anchor>
          </controlPr>
        </control>
      </mc:Choice>
      <mc:Fallback>
        <control shapeId="1037" r:id="rId16" name="Control 13"/>
      </mc:Fallback>
    </mc:AlternateContent>
    <mc:AlternateContent xmlns:mc="http://schemas.openxmlformats.org/markup-compatibility/2006">
      <mc:Choice Requires="x14">
        <control shapeId="1036" r:id="rId18" name="Control 12">
          <control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457200</xdr:colOff>
                <xdr:row>18</xdr:row>
                <xdr:rowOff>45720</xdr:rowOff>
              </to>
            </anchor>
          </controlPr>
        </control>
      </mc:Choice>
      <mc:Fallback>
        <control shapeId="1036" r:id="rId18" name="Control 12"/>
      </mc:Fallback>
    </mc:AlternateContent>
    <mc:AlternateContent xmlns:mc="http://schemas.openxmlformats.org/markup-compatibility/2006">
      <mc:Choice Requires="x14">
        <control shapeId="1035" r:id="rId19" name="Control 11">
          <controlPr defaultSize="0" r:id="rId5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1</xdr:col>
                <xdr:colOff>457200</xdr:colOff>
                <xdr:row>17</xdr:row>
                <xdr:rowOff>45720</xdr:rowOff>
              </to>
            </anchor>
          </controlPr>
        </control>
      </mc:Choice>
      <mc:Fallback>
        <control shapeId="1035" r:id="rId19" name="Control 11"/>
      </mc:Fallback>
    </mc:AlternateContent>
    <mc:AlternateContent xmlns:mc="http://schemas.openxmlformats.org/markup-compatibility/2006">
      <mc:Choice Requires="x14">
        <control shapeId="1034" r:id="rId20" name="Control 10">
          <controlPr defaultSize="0" r:id="rId13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335280</xdr:colOff>
                <xdr:row>16</xdr:row>
                <xdr:rowOff>45720</xdr:rowOff>
              </to>
            </anchor>
          </controlPr>
        </control>
      </mc:Choice>
      <mc:Fallback>
        <control shapeId="1034" r:id="rId20" name="Control 10"/>
      </mc:Fallback>
    </mc:AlternateContent>
    <mc:AlternateContent xmlns:mc="http://schemas.openxmlformats.org/markup-compatibility/2006">
      <mc:Choice Requires="x14">
        <control shapeId="1033" r:id="rId21" name="Control 9">
          <controlPr defaultSize="0" r:id="rId5">
            <anchor moveWithCells="1">
              <from>
                <xdr:col>1</xdr:col>
                <xdr:colOff>0</xdr:colOff>
                <xdr:row>14</xdr:row>
                <xdr:rowOff>0</xdr:rowOff>
              </from>
              <to>
                <xdr:col>1</xdr:col>
                <xdr:colOff>457200</xdr:colOff>
                <xdr:row>14</xdr:row>
                <xdr:rowOff>228600</xdr:rowOff>
              </to>
            </anchor>
          </controlPr>
        </control>
      </mc:Choice>
      <mc:Fallback>
        <control shapeId="1033" r:id="rId21" name="Control 9"/>
      </mc:Fallback>
    </mc:AlternateContent>
    <mc:AlternateContent xmlns:mc="http://schemas.openxmlformats.org/markup-compatibility/2006">
      <mc:Choice Requires="x14">
        <control shapeId="1032" r:id="rId22" name="Control 8">
          <controlPr defaultSize="0" r:id="rId23">
            <anchor moveWithCells="1">
              <from>
                <xdr:col>1</xdr:col>
                <xdr:colOff>0</xdr:colOff>
                <xdr:row>11</xdr:row>
                <xdr:rowOff>0</xdr:rowOff>
              </from>
              <to>
                <xdr:col>1</xdr:col>
                <xdr:colOff>396240</xdr:colOff>
                <xdr:row>12</xdr:row>
                <xdr:rowOff>45720</xdr:rowOff>
              </to>
            </anchor>
          </controlPr>
        </control>
      </mc:Choice>
      <mc:Fallback>
        <control shapeId="1032" r:id="rId22" name="Control 8"/>
      </mc:Fallback>
    </mc:AlternateContent>
    <mc:AlternateContent xmlns:mc="http://schemas.openxmlformats.org/markup-compatibility/2006">
      <mc:Choice Requires="x14">
        <control shapeId="1031" r:id="rId24" name="Control 7">
          <controlPr defaultSize="0" r:id="rId23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396240</xdr:colOff>
                <xdr:row>11</xdr:row>
                <xdr:rowOff>45720</xdr:rowOff>
              </to>
            </anchor>
          </controlPr>
        </control>
      </mc:Choice>
      <mc:Fallback>
        <control shapeId="1031" r:id="rId24" name="Control 7"/>
      </mc:Fallback>
    </mc:AlternateContent>
    <mc:AlternateContent xmlns:mc="http://schemas.openxmlformats.org/markup-compatibility/2006">
      <mc:Choice Requires="x14">
        <control shapeId="1030" r:id="rId25" name="Control 6">
          <controlPr defaultSize="0" r:id="rId26">
            <anchor moveWithCells="1"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274320</xdr:colOff>
                <xdr:row>9</xdr:row>
                <xdr:rowOff>45720</xdr:rowOff>
              </to>
            </anchor>
          </controlPr>
        </control>
      </mc:Choice>
      <mc:Fallback>
        <control shapeId="1030" r:id="rId25" name="Control 6"/>
      </mc:Fallback>
    </mc:AlternateContent>
    <mc:AlternateContent xmlns:mc="http://schemas.openxmlformats.org/markup-compatibility/2006">
      <mc:Choice Requires="x14">
        <control shapeId="1029" r:id="rId27" name="Control 5">
          <controlPr defaultSize="0" r:id="rId23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396240</xdr:colOff>
                <xdr:row>8</xdr:row>
                <xdr:rowOff>45720</xdr:rowOff>
              </to>
            </anchor>
          </controlPr>
        </control>
      </mc:Choice>
      <mc:Fallback>
        <control shapeId="1029" r:id="rId27" name="Control 5"/>
      </mc:Fallback>
    </mc:AlternateContent>
    <mc:AlternateContent xmlns:mc="http://schemas.openxmlformats.org/markup-compatibility/2006">
      <mc:Choice Requires="x14">
        <control shapeId="1028" r:id="rId28" name="Control 4">
          <controlPr defaultSize="0" r:id="rId26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274320</xdr:colOff>
                <xdr:row>7</xdr:row>
                <xdr:rowOff>45720</xdr:rowOff>
              </to>
            </anchor>
          </controlPr>
        </control>
      </mc:Choice>
      <mc:Fallback>
        <control shapeId="1028" r:id="rId28" name="Control 4"/>
      </mc:Fallback>
    </mc:AlternateContent>
    <mc:AlternateContent xmlns:mc="http://schemas.openxmlformats.org/markup-compatibility/2006">
      <mc:Choice Requires="x14">
        <control shapeId="1027" r:id="rId29" name="Control 3">
          <controlPr defaultSize="0" r:id="rId23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1</xdr:col>
                <xdr:colOff>396240</xdr:colOff>
                <xdr:row>6</xdr:row>
                <xdr:rowOff>45720</xdr:rowOff>
              </to>
            </anchor>
          </controlPr>
        </control>
      </mc:Choice>
      <mc:Fallback>
        <control shapeId="1027" r:id="rId29" name="Control 3"/>
      </mc:Fallback>
    </mc:AlternateContent>
    <mc:AlternateContent xmlns:mc="http://schemas.openxmlformats.org/markup-compatibility/2006">
      <mc:Choice Requires="x14">
        <control shapeId="1026" r:id="rId30" name="Control 2">
          <controlPr defaultSize="0" r:id="rId31">
            <anchor moveWithCells="1">
              <from>
                <xdr:col>1</xdr:col>
                <xdr:colOff>0</xdr:colOff>
                <xdr:row>4</xdr:row>
                <xdr:rowOff>0</xdr:rowOff>
              </from>
              <to>
                <xdr:col>1</xdr:col>
                <xdr:colOff>213360</xdr:colOff>
                <xdr:row>5</xdr:row>
                <xdr:rowOff>45720</xdr:rowOff>
              </to>
            </anchor>
          </controlPr>
        </control>
      </mc:Choice>
      <mc:Fallback>
        <control shapeId="1026" r:id="rId30" name="Control 2"/>
      </mc:Fallback>
    </mc:AlternateContent>
    <mc:AlternateContent xmlns:mc="http://schemas.openxmlformats.org/markup-compatibility/2006">
      <mc:Choice Requires="x14">
        <control shapeId="1025" r:id="rId32" name="Control 1">
          <controlPr defaultSize="0" r:id="rId13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335280</xdr:colOff>
                <xdr:row>4</xdr:row>
                <xdr:rowOff>45720</xdr:rowOff>
              </to>
            </anchor>
          </controlPr>
        </control>
      </mc:Choice>
      <mc:Fallback>
        <control shapeId="1025" r:id="rId32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DBED-497D-4E34-9AA8-35E34B92E8E0}">
  <dimension ref="A1:E32"/>
  <sheetViews>
    <sheetView workbookViewId="0">
      <selection activeCell="B30" sqref="B30"/>
    </sheetView>
  </sheetViews>
  <sheetFormatPr defaultRowHeight="14.4" x14ac:dyDescent="0.3"/>
  <cols>
    <col min="1" max="1" width="43.44140625" customWidth="1"/>
    <col min="2" max="2" width="50.33203125" customWidth="1"/>
    <col min="5" max="5" width="10.6640625" customWidth="1"/>
  </cols>
  <sheetData>
    <row r="1" spans="1:5" x14ac:dyDescent="0.3">
      <c r="A1" s="2" t="s">
        <v>0</v>
      </c>
      <c r="B1" s="3"/>
    </row>
    <row r="2" spans="1:5" ht="22.8" x14ac:dyDescent="0.3">
      <c r="A2" s="1" t="s">
        <v>1</v>
      </c>
      <c r="B2" s="13">
        <f>E3*60</f>
        <v>480</v>
      </c>
      <c r="D2" t="s">
        <v>28</v>
      </c>
      <c r="E2">
        <v>3</v>
      </c>
    </row>
    <row r="3" spans="1:5" x14ac:dyDescent="0.3">
      <c r="A3" s="1" t="s">
        <v>2</v>
      </c>
      <c r="B3" s="13">
        <f>E2</f>
        <v>3</v>
      </c>
      <c r="D3" t="s">
        <v>29</v>
      </c>
      <c r="E3">
        <v>8</v>
      </c>
    </row>
    <row r="4" spans="1:5" ht="22.8" x14ac:dyDescent="0.3">
      <c r="A4" s="1" t="s">
        <v>3</v>
      </c>
      <c r="B4" s="13">
        <f>B3*B2</f>
        <v>1440</v>
      </c>
      <c r="D4" t="s">
        <v>30</v>
      </c>
      <c r="E4">
        <v>38</v>
      </c>
    </row>
    <row r="5" spans="1:5" ht="22.8" x14ac:dyDescent="0.3">
      <c r="A5" s="1" t="s">
        <v>4</v>
      </c>
      <c r="B5" s="13">
        <f>E4*B3</f>
        <v>114</v>
      </c>
      <c r="D5" t="s">
        <v>31</v>
      </c>
      <c r="E5">
        <v>56</v>
      </c>
    </row>
    <row r="6" spans="1:5" ht="45.6" x14ac:dyDescent="0.3">
      <c r="A6" s="1" t="s">
        <v>5</v>
      </c>
      <c r="B6" s="13">
        <f>B4-B5</f>
        <v>1326</v>
      </c>
      <c r="D6" t="s">
        <v>32</v>
      </c>
      <c r="E6">
        <v>22456</v>
      </c>
    </row>
    <row r="7" spans="1:5" ht="57" x14ac:dyDescent="0.3">
      <c r="A7" s="5" t="s">
        <v>6</v>
      </c>
      <c r="B7" s="14">
        <f>E5</f>
        <v>56</v>
      </c>
      <c r="D7" t="s">
        <v>33</v>
      </c>
      <c r="E7">
        <v>698</v>
      </c>
    </row>
    <row r="8" spans="1:5" ht="57" x14ac:dyDescent="0.3">
      <c r="A8" s="6" t="s">
        <v>7</v>
      </c>
      <c r="B8" s="15"/>
      <c r="D8" t="s">
        <v>34</v>
      </c>
      <c r="E8">
        <v>1100</v>
      </c>
    </row>
    <row r="9" spans="1:5" ht="34.200000000000003" x14ac:dyDescent="0.3">
      <c r="A9" s="7" t="s">
        <v>8</v>
      </c>
      <c r="B9" s="16">
        <f>B6-B7</f>
        <v>1270</v>
      </c>
    </row>
    <row r="10" spans="1:5" x14ac:dyDescent="0.3">
      <c r="A10" s="7" t="s">
        <v>9</v>
      </c>
      <c r="B10" s="19">
        <f>B9/B6</f>
        <v>0.95776772247360487</v>
      </c>
    </row>
    <row r="11" spans="1:5" x14ac:dyDescent="0.3">
      <c r="A11" s="1"/>
      <c r="B11" s="13"/>
    </row>
    <row r="12" spans="1:5" x14ac:dyDescent="0.3">
      <c r="A12" s="2" t="s">
        <v>10</v>
      </c>
      <c r="B12" s="3"/>
    </row>
    <row r="13" spans="1:5" ht="57" x14ac:dyDescent="0.3">
      <c r="A13" s="1" t="s">
        <v>11</v>
      </c>
      <c r="B13" s="13">
        <f>E6</f>
        <v>22456</v>
      </c>
    </row>
    <row r="14" spans="1:5" ht="57" x14ac:dyDescent="0.3">
      <c r="A14" s="1" t="s">
        <v>12</v>
      </c>
      <c r="B14" s="13">
        <f>E8</f>
        <v>1100</v>
      </c>
    </row>
    <row r="15" spans="1:5" ht="34.200000000000003" x14ac:dyDescent="0.3">
      <c r="A15" s="1" t="s">
        <v>13</v>
      </c>
      <c r="B15" s="13">
        <f>B14*B9/60</f>
        <v>23283.333333333332</v>
      </c>
    </row>
    <row r="16" spans="1:5" x14ac:dyDescent="0.3">
      <c r="A16" s="7" t="s">
        <v>14</v>
      </c>
      <c r="B16" s="19">
        <f>B13/B15</f>
        <v>0.96446671438797427</v>
      </c>
    </row>
    <row r="17" spans="1:2" ht="45.6" x14ac:dyDescent="0.3">
      <c r="A17" s="7" t="s">
        <v>15</v>
      </c>
      <c r="B17" s="16">
        <f>B9*(1-B16)</f>
        <v>45.127272727272683</v>
      </c>
    </row>
    <row r="18" spans="1:2" ht="45.6" x14ac:dyDescent="0.3">
      <c r="A18" s="7" t="s">
        <v>16</v>
      </c>
      <c r="B18" s="16">
        <f>B9-B17</f>
        <v>1224.8727272727274</v>
      </c>
    </row>
    <row r="19" spans="1:2" x14ac:dyDescent="0.3">
      <c r="A19" s="1"/>
      <c r="B19" s="13"/>
    </row>
    <row r="20" spans="1:2" x14ac:dyDescent="0.3">
      <c r="A20" s="2" t="s">
        <v>17</v>
      </c>
      <c r="B20" s="3"/>
    </row>
    <row r="21" spans="1:2" ht="34.200000000000003" x14ac:dyDescent="0.3">
      <c r="A21" s="1" t="s">
        <v>18</v>
      </c>
      <c r="B21" s="13">
        <f>E7</f>
        <v>698</v>
      </c>
    </row>
    <row r="22" spans="1:2" ht="34.200000000000003" x14ac:dyDescent="0.3">
      <c r="A22" s="1" t="s">
        <v>19</v>
      </c>
      <c r="B22" s="13">
        <f>B23-B21</f>
        <v>21758</v>
      </c>
    </row>
    <row r="23" spans="1:2" ht="34.200000000000003" x14ac:dyDescent="0.3">
      <c r="A23" s="1" t="s">
        <v>20</v>
      </c>
      <c r="B23" s="13">
        <f>E6</f>
        <v>22456</v>
      </c>
    </row>
    <row r="24" spans="1:2" x14ac:dyDescent="0.3">
      <c r="A24" s="7" t="s">
        <v>21</v>
      </c>
      <c r="B24" s="19">
        <f>B22/B23</f>
        <v>0.96891699323120772</v>
      </c>
    </row>
    <row r="25" spans="1:2" ht="45.6" x14ac:dyDescent="0.3">
      <c r="A25" s="7" t="s">
        <v>22</v>
      </c>
      <c r="B25" s="16">
        <f>B18*(1-B24)</f>
        <v>38.072727272727242</v>
      </c>
    </row>
    <row r="26" spans="1:2" x14ac:dyDescent="0.3">
      <c r="A26" s="4"/>
      <c r="B26" s="13"/>
    </row>
    <row r="27" spans="1:2" ht="34.200000000000003" x14ac:dyDescent="0.3">
      <c r="A27" s="7" t="s">
        <v>23</v>
      </c>
      <c r="B27" s="16">
        <f>B18-B25</f>
        <v>1186.8000000000002</v>
      </c>
    </row>
    <row r="28" spans="1:2" x14ac:dyDescent="0.3">
      <c r="A28" s="8" t="s">
        <v>24</v>
      </c>
      <c r="B28" s="20">
        <f>B24*B16*B10</f>
        <v>0.89502262443438918</v>
      </c>
    </row>
    <row r="29" spans="1:2" x14ac:dyDescent="0.3">
      <c r="A29" s="9" t="s">
        <v>25</v>
      </c>
      <c r="B29" s="21"/>
    </row>
    <row r="30" spans="1:2" x14ac:dyDescent="0.3">
      <c r="A30" s="1"/>
      <c r="B30" s="13"/>
    </row>
    <row r="31" spans="1:2" x14ac:dyDescent="0.3">
      <c r="A31" s="11" t="s">
        <v>26</v>
      </c>
      <c r="B31" s="12"/>
    </row>
    <row r="32" spans="1:2" ht="34.200000000000003" x14ac:dyDescent="0.3">
      <c r="A32" s="10" t="s">
        <v>27</v>
      </c>
      <c r="B32" s="17">
        <f>(B21/B23)*1000000</f>
        <v>31083.006768792304</v>
      </c>
    </row>
  </sheetData>
  <mergeCells count="6">
    <mergeCell ref="A1:B1"/>
    <mergeCell ref="B7:B8"/>
    <mergeCell ref="A12:B12"/>
    <mergeCell ref="A20:B20"/>
    <mergeCell ref="B28:B29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Alexander Kalis</cp:lastModifiedBy>
  <dcterms:created xsi:type="dcterms:W3CDTF">2021-05-11T17:08:43Z</dcterms:created>
  <dcterms:modified xsi:type="dcterms:W3CDTF">2021-05-11T17:39:50Z</dcterms:modified>
</cp:coreProperties>
</file>