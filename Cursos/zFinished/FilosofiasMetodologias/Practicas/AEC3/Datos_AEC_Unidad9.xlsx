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FilosofiasMetodologias/Practicas/AEC3/"/>
    </mc:Choice>
  </mc:AlternateContent>
  <xr:revisionPtr revIDLastSave="164" documentId="13_ncr:1_{471AE21C-2A4B-4700-98C2-4381ECDCAF0E}" xr6:coauthVersionLast="46" xr6:coauthVersionMax="46" xr10:uidLastSave="{3C084C3E-27AE-4FE3-AFC3-BB8672A575BD}"/>
  <bookViews>
    <workbookView xWindow="-108" yWindow="348" windowWidth="41496" windowHeight="17040" activeTab="1" xr2:uid="{0A2B832D-91EE-467A-AE11-33A98F5A4626}"/>
  </bookViews>
  <sheets>
    <sheet name="Caso1" sheetId="1" r:id="rId1"/>
    <sheet name="Cas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  <c r="H2" i="2" s="1"/>
  <c r="I2" i="2" s="1"/>
  <c r="H3" i="2" l="1"/>
  <c r="I3" i="2" s="1"/>
  <c r="I4" i="2" s="1"/>
  <c r="H4" i="2"/>
</calcChain>
</file>

<file path=xl/sharedStrings.xml><?xml version="1.0" encoding="utf-8"?>
<sst xmlns="http://schemas.openxmlformats.org/spreadsheetml/2006/main" count="103" uniqueCount="25">
  <si>
    <t>Nº dato</t>
  </si>
  <si>
    <t>Nº defectos</t>
  </si>
  <si>
    <t>Tiempo (s)</t>
  </si>
  <si>
    <t>Materia prima</t>
  </si>
  <si>
    <t>B</t>
  </si>
  <si>
    <t>A</t>
  </si>
  <si>
    <t>Servicio</t>
  </si>
  <si>
    <t>Turno</t>
  </si>
  <si>
    <t>Número incidencias tipo 1</t>
  </si>
  <si>
    <t>Número incidencias tipo 2</t>
  </si>
  <si>
    <t>Número incidencias tipo 3</t>
  </si>
  <si>
    <t>Atención al puesto de trabajo</t>
  </si>
  <si>
    <t>Lunes</t>
  </si>
  <si>
    <t>Martes</t>
  </si>
  <si>
    <t>Miércoles</t>
  </si>
  <si>
    <t>Jueves</t>
  </si>
  <si>
    <t>Viernes</t>
  </si>
  <si>
    <t>Wifi invitados</t>
  </si>
  <si>
    <t>Atención a aulas de laboratorio</t>
  </si>
  <si>
    <t>Tiempo respuesta incidencias tipo 1 (horas)</t>
  </si>
  <si>
    <t>Tiempo respuesta incidencias tipo 2 (horas)</t>
  </si>
  <si>
    <t>Tiempo respuesta incidencias tipo 3 (horas)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</si>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</sst>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0CECE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  <xf numFmtId="0" fontId="3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F7CAA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D5D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D5D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D5D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D5DCE4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</a:t>
            </a:r>
            <a:r>
              <a:rPr lang="en-US" baseline="0"/>
              <a:t> prima 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Caso1!$C$2:$C$25</c:f>
              <c:numCache>
                <c:formatCode>General</c:formatCode>
                <c:ptCount val="24"/>
                <c:pt idx="0">
                  <c:v>471</c:v>
                </c:pt>
                <c:pt idx="1">
                  <c:v>470</c:v>
                </c:pt>
                <c:pt idx="2">
                  <c:v>485</c:v>
                </c:pt>
                <c:pt idx="3">
                  <c:v>460</c:v>
                </c:pt>
                <c:pt idx="4">
                  <c:v>462</c:v>
                </c:pt>
                <c:pt idx="5">
                  <c:v>465</c:v>
                </c:pt>
                <c:pt idx="6">
                  <c:v>494</c:v>
                </c:pt>
                <c:pt idx="7">
                  <c:v>484</c:v>
                </c:pt>
                <c:pt idx="8">
                  <c:v>473</c:v>
                </c:pt>
                <c:pt idx="9">
                  <c:v>492</c:v>
                </c:pt>
                <c:pt idx="10">
                  <c:v>453</c:v>
                </c:pt>
                <c:pt idx="11">
                  <c:v>465</c:v>
                </c:pt>
                <c:pt idx="12">
                  <c:v>452</c:v>
                </c:pt>
                <c:pt idx="13">
                  <c:v>455</c:v>
                </c:pt>
                <c:pt idx="14">
                  <c:v>456</c:v>
                </c:pt>
                <c:pt idx="15">
                  <c:v>485</c:v>
                </c:pt>
                <c:pt idx="16">
                  <c:v>462</c:v>
                </c:pt>
                <c:pt idx="17">
                  <c:v>486</c:v>
                </c:pt>
                <c:pt idx="18">
                  <c:v>470</c:v>
                </c:pt>
                <c:pt idx="19">
                  <c:v>490</c:v>
                </c:pt>
                <c:pt idx="20">
                  <c:v>459</c:v>
                </c:pt>
                <c:pt idx="21">
                  <c:v>459</c:v>
                </c:pt>
                <c:pt idx="22">
                  <c:v>464</c:v>
                </c:pt>
                <c:pt idx="23">
                  <c:v>494</c:v>
                </c:pt>
              </c:numCache>
            </c:numRef>
          </c:xVal>
          <c:yVal>
            <c:numRef>
              <c:f>Caso1!$B$2:$B$25</c:f>
              <c:numCache>
                <c:formatCode>General</c:formatCode>
                <c:ptCount val="24"/>
                <c:pt idx="0">
                  <c:v>39</c:v>
                </c:pt>
                <c:pt idx="1">
                  <c:v>33</c:v>
                </c:pt>
                <c:pt idx="2">
                  <c:v>38</c:v>
                </c:pt>
                <c:pt idx="3">
                  <c:v>38</c:v>
                </c:pt>
                <c:pt idx="4">
                  <c:v>40</c:v>
                </c:pt>
                <c:pt idx="5">
                  <c:v>31</c:v>
                </c:pt>
                <c:pt idx="6">
                  <c:v>33</c:v>
                </c:pt>
                <c:pt idx="7">
                  <c:v>35</c:v>
                </c:pt>
                <c:pt idx="8">
                  <c:v>33</c:v>
                </c:pt>
                <c:pt idx="9">
                  <c:v>31</c:v>
                </c:pt>
                <c:pt idx="10">
                  <c:v>32</c:v>
                </c:pt>
                <c:pt idx="11">
                  <c:v>35</c:v>
                </c:pt>
                <c:pt idx="12">
                  <c:v>30</c:v>
                </c:pt>
                <c:pt idx="13">
                  <c:v>30</c:v>
                </c:pt>
                <c:pt idx="14">
                  <c:v>34</c:v>
                </c:pt>
                <c:pt idx="15">
                  <c:v>37</c:v>
                </c:pt>
                <c:pt idx="16">
                  <c:v>38</c:v>
                </c:pt>
                <c:pt idx="17">
                  <c:v>37</c:v>
                </c:pt>
                <c:pt idx="18">
                  <c:v>30</c:v>
                </c:pt>
                <c:pt idx="19">
                  <c:v>34</c:v>
                </c:pt>
                <c:pt idx="20">
                  <c:v>38</c:v>
                </c:pt>
                <c:pt idx="21">
                  <c:v>35</c:v>
                </c:pt>
                <c:pt idx="22">
                  <c:v>39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1-42C7-9A05-C0DBE8912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503215"/>
        <c:axId val="647502799"/>
      </c:scatterChart>
      <c:valAx>
        <c:axId val="64750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02799"/>
        <c:crosses val="autoZero"/>
        <c:crossBetween val="midCat"/>
      </c:valAx>
      <c:valAx>
        <c:axId val="6475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0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 prima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Caso1!$C$26:$C$51</c:f>
              <c:numCache>
                <c:formatCode>General</c:formatCode>
                <c:ptCount val="26"/>
                <c:pt idx="0">
                  <c:v>468</c:v>
                </c:pt>
                <c:pt idx="1">
                  <c:v>457</c:v>
                </c:pt>
                <c:pt idx="2">
                  <c:v>477</c:v>
                </c:pt>
                <c:pt idx="3">
                  <c:v>456</c:v>
                </c:pt>
                <c:pt idx="4">
                  <c:v>500</c:v>
                </c:pt>
                <c:pt idx="5">
                  <c:v>484</c:v>
                </c:pt>
                <c:pt idx="6">
                  <c:v>479</c:v>
                </c:pt>
                <c:pt idx="7">
                  <c:v>452</c:v>
                </c:pt>
                <c:pt idx="8">
                  <c:v>476</c:v>
                </c:pt>
                <c:pt idx="9">
                  <c:v>488</c:v>
                </c:pt>
                <c:pt idx="10">
                  <c:v>486</c:v>
                </c:pt>
                <c:pt idx="11">
                  <c:v>471</c:v>
                </c:pt>
                <c:pt idx="12">
                  <c:v>485</c:v>
                </c:pt>
                <c:pt idx="13">
                  <c:v>466</c:v>
                </c:pt>
                <c:pt idx="14">
                  <c:v>470</c:v>
                </c:pt>
                <c:pt idx="15">
                  <c:v>465</c:v>
                </c:pt>
                <c:pt idx="16">
                  <c:v>479</c:v>
                </c:pt>
                <c:pt idx="17">
                  <c:v>475</c:v>
                </c:pt>
                <c:pt idx="18">
                  <c:v>486</c:v>
                </c:pt>
                <c:pt idx="19">
                  <c:v>497</c:v>
                </c:pt>
                <c:pt idx="20">
                  <c:v>463</c:v>
                </c:pt>
                <c:pt idx="21">
                  <c:v>490</c:v>
                </c:pt>
                <c:pt idx="22">
                  <c:v>460</c:v>
                </c:pt>
                <c:pt idx="23">
                  <c:v>483</c:v>
                </c:pt>
                <c:pt idx="24">
                  <c:v>476</c:v>
                </c:pt>
                <c:pt idx="25">
                  <c:v>480</c:v>
                </c:pt>
              </c:numCache>
            </c:numRef>
          </c:xVal>
          <c:yVal>
            <c:numRef>
              <c:f>Caso1!$B$26:$B$51</c:f>
              <c:numCache>
                <c:formatCode>General</c:formatCode>
                <c:ptCount val="26"/>
                <c:pt idx="0">
                  <c:v>41</c:v>
                </c:pt>
                <c:pt idx="1">
                  <c:v>36</c:v>
                </c:pt>
                <c:pt idx="2">
                  <c:v>47</c:v>
                </c:pt>
                <c:pt idx="3">
                  <c:v>41</c:v>
                </c:pt>
                <c:pt idx="4">
                  <c:v>48</c:v>
                </c:pt>
                <c:pt idx="5">
                  <c:v>45</c:v>
                </c:pt>
                <c:pt idx="6">
                  <c:v>38</c:v>
                </c:pt>
                <c:pt idx="7">
                  <c:v>46</c:v>
                </c:pt>
                <c:pt idx="8">
                  <c:v>48</c:v>
                </c:pt>
                <c:pt idx="9">
                  <c:v>48</c:v>
                </c:pt>
                <c:pt idx="10">
                  <c:v>44</c:v>
                </c:pt>
                <c:pt idx="11">
                  <c:v>42</c:v>
                </c:pt>
                <c:pt idx="12">
                  <c:v>39</c:v>
                </c:pt>
                <c:pt idx="13">
                  <c:v>48</c:v>
                </c:pt>
                <c:pt idx="14">
                  <c:v>38</c:v>
                </c:pt>
                <c:pt idx="15">
                  <c:v>42</c:v>
                </c:pt>
                <c:pt idx="16">
                  <c:v>37</c:v>
                </c:pt>
                <c:pt idx="17">
                  <c:v>45</c:v>
                </c:pt>
                <c:pt idx="18">
                  <c:v>42</c:v>
                </c:pt>
                <c:pt idx="19">
                  <c:v>37</c:v>
                </c:pt>
                <c:pt idx="20">
                  <c:v>45</c:v>
                </c:pt>
                <c:pt idx="21">
                  <c:v>42</c:v>
                </c:pt>
                <c:pt idx="22">
                  <c:v>42</c:v>
                </c:pt>
                <c:pt idx="23">
                  <c:v>45</c:v>
                </c:pt>
                <c:pt idx="24">
                  <c:v>43</c:v>
                </c:pt>
                <c:pt idx="25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3-48C3-ABEF-D5D065FB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556959"/>
        <c:axId val="483679167"/>
      </c:scatterChart>
      <c:valAx>
        <c:axId val="64755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679167"/>
        <c:crosses val="autoZero"/>
        <c:crossBetween val="midCat"/>
      </c:valAx>
      <c:valAx>
        <c:axId val="4836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5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263842</xdr:colOff>
      <xdr:row>1</xdr:row>
      <xdr:rowOff>91440</xdr:rowOff>
    </xdr:from>
    <xdr:to>
      <xdr:col>11</xdr:col>
      <xdr:colOff>86677</xdr:colOff>
      <xdr:row>16</xdr:row>
      <xdr:rowOff>123825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0E5AB83-38C6-4431-9A49-CF82F3802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94214</xdr:colOff>
      <xdr:row>1</xdr:row>
      <xdr:rowOff>97156</xdr:rowOff>
    </xdr:from>
    <xdr:to>
      <xdr:col>16</xdr:col>
      <xdr:colOff>705802</xdr:colOff>
      <xdr:row>16</xdr:row>
      <xdr:rowOff>125731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A410501-DB45-4166-B6E2-0B46A273C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264E0-09B4-422A-84BF-A587FDCC61D6}" name="Table1" displayName="Table1" ref="A1:D51" totalsRowShown="0" headerRowDxfId="0" headerRowBorderDxfId="6" tableBorderDxfId="7" totalsRowBorderDxfId="5">
  <autoFilter ref="A1:D51" xr:uid="{597D496D-7544-4C76-A6D2-895402A35FC7}"/>
  <sortState xmlns:xlrd2="http://schemas.microsoft.com/office/spreadsheetml/2017/richdata2" ref="A2:D51">
    <sortCondition ref="D1:D51"/>
  </sortState>
  <tableColumns count="4">
    <tableColumn id="1" xr3:uid="{CD860A58-F365-42EF-8B85-479000766803}" name="Nº dato" dataDxfId="4"/>
    <tableColumn id="2" xr3:uid="{0F72E29D-E89B-4EA6-8A58-FE8213A9FA1C}" name="Nº defectos" dataDxfId="3"/>
    <tableColumn id="3" xr3:uid="{4F2AEBCC-0F6B-4E5C-906D-A1CC8926D77E}" name="Tiempo (s)" dataDxfId="2"/>
    <tableColumn id="4" xr3:uid="{6EEEE366-90EB-4753-B316-FD02AF94354E}" name="Materia prima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1A24-D7DE-4B89-9539-5C085E20629B}">
  <dimension ref="A1:D51"/>
  <sheetViews>
    <sheetView topLeftCell="C1" zoomScale="115" zoomScaleNormal="115" workbookViewId="0">
      <selection activeCell="L22" sqref="L22"/>
    </sheetView>
  </sheetViews>
  <sheetFormatPr defaultColWidth="11.5546875" defaultRowHeight="14.4" x14ac:dyDescent="0.3"/>
  <cols>
    <col min="1" max="1" width="13.88671875" customWidth="1"/>
    <col min="2" max="2" width="13.33203125" customWidth="1"/>
    <col min="3" max="3" width="12.77734375" customWidth="1"/>
    <col min="4" max="4" width="15.88671875" customWidth="1"/>
  </cols>
  <sheetData>
    <row r="1" spans="1:4" x14ac:dyDescent="0.3">
      <c r="A1" s="21" t="s">
        <v>0</v>
      </c>
      <c r="B1" s="22" t="s">
        <v>1</v>
      </c>
      <c r="C1" s="22" t="s">
        <v>2</v>
      </c>
      <c r="D1" s="23" t="s">
        <v>3</v>
      </c>
    </row>
    <row r="2" spans="1:4" x14ac:dyDescent="0.3">
      <c r="A2" s="15">
        <v>4</v>
      </c>
      <c r="B2" s="1">
        <v>39</v>
      </c>
      <c r="C2" s="1">
        <v>471</v>
      </c>
      <c r="D2" s="18" t="s">
        <v>5</v>
      </c>
    </row>
    <row r="3" spans="1:4" x14ac:dyDescent="0.3">
      <c r="A3" s="15">
        <v>5</v>
      </c>
      <c r="B3" s="1">
        <v>33</v>
      </c>
      <c r="C3" s="1">
        <v>470</v>
      </c>
      <c r="D3" s="18" t="s">
        <v>5</v>
      </c>
    </row>
    <row r="4" spans="1:4" x14ac:dyDescent="0.3">
      <c r="A4" s="15">
        <v>6</v>
      </c>
      <c r="B4" s="1">
        <v>38</v>
      </c>
      <c r="C4" s="1">
        <v>485</v>
      </c>
      <c r="D4" s="18" t="s">
        <v>5</v>
      </c>
    </row>
    <row r="5" spans="1:4" x14ac:dyDescent="0.3">
      <c r="A5" s="15">
        <v>7</v>
      </c>
      <c r="B5" s="1">
        <v>38</v>
      </c>
      <c r="C5" s="1">
        <v>460</v>
      </c>
      <c r="D5" s="18" t="s">
        <v>5</v>
      </c>
    </row>
    <row r="6" spans="1:4" x14ac:dyDescent="0.3">
      <c r="A6" s="15">
        <v>11</v>
      </c>
      <c r="B6" s="1">
        <v>40</v>
      </c>
      <c r="C6" s="1">
        <v>462</v>
      </c>
      <c r="D6" s="18" t="s">
        <v>5</v>
      </c>
    </row>
    <row r="7" spans="1:4" x14ac:dyDescent="0.3">
      <c r="A7" s="15">
        <v>13</v>
      </c>
      <c r="B7" s="1">
        <v>31</v>
      </c>
      <c r="C7" s="1">
        <v>465</v>
      </c>
      <c r="D7" s="18" t="s">
        <v>5</v>
      </c>
    </row>
    <row r="8" spans="1:4" x14ac:dyDescent="0.3">
      <c r="A8" s="15">
        <v>14</v>
      </c>
      <c r="B8" s="1">
        <v>33</v>
      </c>
      <c r="C8" s="1">
        <v>494</v>
      </c>
      <c r="D8" s="18" t="s">
        <v>5</v>
      </c>
    </row>
    <row r="9" spans="1:4" x14ac:dyDescent="0.3">
      <c r="A9" s="15">
        <v>17</v>
      </c>
      <c r="B9" s="1">
        <v>35</v>
      </c>
      <c r="C9" s="1">
        <v>484</v>
      </c>
      <c r="D9" s="18" t="s">
        <v>5</v>
      </c>
    </row>
    <row r="10" spans="1:4" x14ac:dyDescent="0.3">
      <c r="A10" s="15">
        <v>19</v>
      </c>
      <c r="B10" s="1">
        <v>33</v>
      </c>
      <c r="C10" s="1">
        <v>473</v>
      </c>
      <c r="D10" s="18" t="s">
        <v>5</v>
      </c>
    </row>
    <row r="11" spans="1:4" x14ac:dyDescent="0.3">
      <c r="A11" s="15">
        <v>20</v>
      </c>
      <c r="B11" s="1">
        <v>31</v>
      </c>
      <c r="C11" s="1">
        <v>492</v>
      </c>
      <c r="D11" s="18" t="s">
        <v>5</v>
      </c>
    </row>
    <row r="12" spans="1:4" x14ac:dyDescent="0.3">
      <c r="A12" s="15">
        <v>22</v>
      </c>
      <c r="B12" s="1">
        <v>32</v>
      </c>
      <c r="C12" s="1">
        <v>453</v>
      </c>
      <c r="D12" s="18" t="s">
        <v>5</v>
      </c>
    </row>
    <row r="13" spans="1:4" x14ac:dyDescent="0.3">
      <c r="A13" s="15">
        <v>23</v>
      </c>
      <c r="B13" s="1">
        <v>35</v>
      </c>
      <c r="C13" s="1">
        <v>465</v>
      </c>
      <c r="D13" s="18" t="s">
        <v>5</v>
      </c>
    </row>
    <row r="14" spans="1:4" x14ac:dyDescent="0.3">
      <c r="A14" s="17">
        <v>26</v>
      </c>
      <c r="B14" s="2">
        <v>30</v>
      </c>
      <c r="C14" s="2">
        <v>452</v>
      </c>
      <c r="D14" s="20" t="s">
        <v>5</v>
      </c>
    </row>
    <row r="15" spans="1:4" x14ac:dyDescent="0.3">
      <c r="A15" s="17">
        <v>27</v>
      </c>
      <c r="B15" s="2">
        <v>30</v>
      </c>
      <c r="C15" s="2">
        <v>455</v>
      </c>
      <c r="D15" s="20" t="s">
        <v>5</v>
      </c>
    </row>
    <row r="16" spans="1:4" x14ac:dyDescent="0.3">
      <c r="A16" s="17">
        <v>29</v>
      </c>
      <c r="B16" s="2">
        <v>34</v>
      </c>
      <c r="C16" s="2">
        <v>456</v>
      </c>
      <c r="D16" s="20" t="s">
        <v>5</v>
      </c>
    </row>
    <row r="17" spans="1:4" x14ac:dyDescent="0.3">
      <c r="A17" s="17">
        <v>30</v>
      </c>
      <c r="B17" s="2">
        <v>37</v>
      </c>
      <c r="C17" s="2">
        <v>485</v>
      </c>
      <c r="D17" s="20" t="s">
        <v>5</v>
      </c>
    </row>
    <row r="18" spans="1:4" x14ac:dyDescent="0.3">
      <c r="A18" s="17">
        <v>31</v>
      </c>
      <c r="B18" s="2">
        <v>38</v>
      </c>
      <c r="C18" s="2">
        <v>462</v>
      </c>
      <c r="D18" s="20" t="s">
        <v>5</v>
      </c>
    </row>
    <row r="19" spans="1:4" x14ac:dyDescent="0.3">
      <c r="A19" s="17">
        <v>32</v>
      </c>
      <c r="B19" s="2">
        <v>37</v>
      </c>
      <c r="C19" s="2">
        <v>486</v>
      </c>
      <c r="D19" s="20" t="s">
        <v>5</v>
      </c>
    </row>
    <row r="20" spans="1:4" x14ac:dyDescent="0.3">
      <c r="A20" s="17">
        <v>35</v>
      </c>
      <c r="B20" s="2">
        <v>30</v>
      </c>
      <c r="C20" s="2">
        <v>470</v>
      </c>
      <c r="D20" s="20" t="s">
        <v>5</v>
      </c>
    </row>
    <row r="21" spans="1:4" x14ac:dyDescent="0.3">
      <c r="A21" s="17">
        <v>45</v>
      </c>
      <c r="B21" s="2">
        <v>34</v>
      </c>
      <c r="C21" s="2">
        <v>490</v>
      </c>
      <c r="D21" s="20" t="s">
        <v>5</v>
      </c>
    </row>
    <row r="22" spans="1:4" x14ac:dyDescent="0.3">
      <c r="A22" s="17">
        <v>46</v>
      </c>
      <c r="B22" s="2">
        <v>38</v>
      </c>
      <c r="C22" s="2">
        <v>459</v>
      </c>
      <c r="D22" s="20" t="s">
        <v>5</v>
      </c>
    </row>
    <row r="23" spans="1:4" x14ac:dyDescent="0.3">
      <c r="A23" s="17">
        <v>48</v>
      </c>
      <c r="B23" s="2">
        <v>35</v>
      </c>
      <c r="C23" s="2">
        <v>459</v>
      </c>
      <c r="D23" s="20" t="s">
        <v>5</v>
      </c>
    </row>
    <row r="24" spans="1:4" x14ac:dyDescent="0.3">
      <c r="A24" s="17">
        <v>49</v>
      </c>
      <c r="B24" s="2">
        <v>39</v>
      </c>
      <c r="C24" s="2">
        <v>464</v>
      </c>
      <c r="D24" s="20" t="s">
        <v>5</v>
      </c>
    </row>
    <row r="25" spans="1:4" x14ac:dyDescent="0.3">
      <c r="A25" s="17">
        <v>50</v>
      </c>
      <c r="B25" s="2">
        <v>34</v>
      </c>
      <c r="C25" s="2">
        <v>494</v>
      </c>
      <c r="D25" s="20" t="s">
        <v>5</v>
      </c>
    </row>
    <row r="26" spans="1:4" ht="15" thickBot="1" x14ac:dyDescent="0.35">
      <c r="A26" s="16">
        <v>1</v>
      </c>
      <c r="B26" s="3">
        <v>41</v>
      </c>
      <c r="C26" s="3">
        <v>468</v>
      </c>
      <c r="D26" s="19" t="s">
        <v>4</v>
      </c>
    </row>
    <row r="27" spans="1:4" x14ac:dyDescent="0.3">
      <c r="A27" s="15">
        <v>2</v>
      </c>
      <c r="B27" s="1">
        <v>36</v>
      </c>
      <c r="C27" s="1">
        <v>457</v>
      </c>
      <c r="D27" s="18" t="s">
        <v>4</v>
      </c>
    </row>
    <row r="28" spans="1:4" x14ac:dyDescent="0.3">
      <c r="A28" s="15">
        <v>3</v>
      </c>
      <c r="B28" s="1">
        <v>47</v>
      </c>
      <c r="C28" s="1">
        <v>477</v>
      </c>
      <c r="D28" s="18" t="s">
        <v>4</v>
      </c>
    </row>
    <row r="29" spans="1:4" x14ac:dyDescent="0.3">
      <c r="A29" s="15">
        <v>8</v>
      </c>
      <c r="B29" s="1">
        <v>41</v>
      </c>
      <c r="C29" s="1">
        <v>456</v>
      </c>
      <c r="D29" s="18" t="s">
        <v>4</v>
      </c>
    </row>
    <row r="30" spans="1:4" x14ac:dyDescent="0.3">
      <c r="A30" s="15">
        <v>9</v>
      </c>
      <c r="B30" s="1">
        <v>48</v>
      </c>
      <c r="C30" s="1">
        <v>500</v>
      </c>
      <c r="D30" s="18" t="s">
        <v>4</v>
      </c>
    </row>
    <row r="31" spans="1:4" x14ac:dyDescent="0.3">
      <c r="A31" s="15">
        <v>10</v>
      </c>
      <c r="B31" s="1">
        <v>45</v>
      </c>
      <c r="C31" s="1">
        <v>484</v>
      </c>
      <c r="D31" s="18" t="s">
        <v>4</v>
      </c>
    </row>
    <row r="32" spans="1:4" x14ac:dyDescent="0.3">
      <c r="A32" s="15">
        <v>12</v>
      </c>
      <c r="B32" s="1">
        <v>38</v>
      </c>
      <c r="C32" s="1">
        <v>479</v>
      </c>
      <c r="D32" s="18" t="s">
        <v>4</v>
      </c>
    </row>
    <row r="33" spans="1:4" x14ac:dyDescent="0.3">
      <c r="A33" s="15">
        <v>15</v>
      </c>
      <c r="B33" s="1">
        <v>46</v>
      </c>
      <c r="C33" s="1">
        <v>452</v>
      </c>
      <c r="D33" s="18" t="s">
        <v>4</v>
      </c>
    </row>
    <row r="34" spans="1:4" x14ac:dyDescent="0.3">
      <c r="A34" s="15">
        <v>16</v>
      </c>
      <c r="B34" s="1">
        <v>48</v>
      </c>
      <c r="C34" s="1">
        <v>476</v>
      </c>
      <c r="D34" s="18" t="s">
        <v>4</v>
      </c>
    </row>
    <row r="35" spans="1:4" x14ac:dyDescent="0.3">
      <c r="A35" s="15">
        <v>18</v>
      </c>
      <c r="B35" s="1">
        <v>48</v>
      </c>
      <c r="C35" s="1">
        <v>488</v>
      </c>
      <c r="D35" s="18" t="s">
        <v>4</v>
      </c>
    </row>
    <row r="36" spans="1:4" x14ac:dyDescent="0.3">
      <c r="A36" s="15">
        <v>21</v>
      </c>
      <c r="B36" s="1">
        <v>44</v>
      </c>
      <c r="C36" s="1">
        <v>486</v>
      </c>
      <c r="D36" s="18" t="s">
        <v>4</v>
      </c>
    </row>
    <row r="37" spans="1:4" x14ac:dyDescent="0.3">
      <c r="A37" s="15">
        <v>24</v>
      </c>
      <c r="B37" s="1">
        <v>42</v>
      </c>
      <c r="C37" s="1">
        <v>471</v>
      </c>
      <c r="D37" s="18" t="s">
        <v>4</v>
      </c>
    </row>
    <row r="38" spans="1:4" x14ac:dyDescent="0.3">
      <c r="A38" s="15">
        <v>25</v>
      </c>
      <c r="B38" s="1">
        <v>39</v>
      </c>
      <c r="C38" s="1">
        <v>485</v>
      </c>
      <c r="D38" s="18" t="s">
        <v>4</v>
      </c>
    </row>
    <row r="39" spans="1:4" x14ac:dyDescent="0.3">
      <c r="A39" s="17">
        <v>28</v>
      </c>
      <c r="B39" s="2">
        <v>48</v>
      </c>
      <c r="C39" s="2">
        <v>466</v>
      </c>
      <c r="D39" s="20" t="s">
        <v>4</v>
      </c>
    </row>
    <row r="40" spans="1:4" x14ac:dyDescent="0.3">
      <c r="A40" s="17">
        <v>33</v>
      </c>
      <c r="B40" s="2">
        <v>38</v>
      </c>
      <c r="C40" s="2">
        <v>470</v>
      </c>
      <c r="D40" s="20" t="s">
        <v>4</v>
      </c>
    </row>
    <row r="41" spans="1:4" x14ac:dyDescent="0.3">
      <c r="A41" s="17">
        <v>34</v>
      </c>
      <c r="B41" s="2">
        <v>42</v>
      </c>
      <c r="C41" s="2">
        <v>465</v>
      </c>
      <c r="D41" s="20" t="s">
        <v>4</v>
      </c>
    </row>
    <row r="42" spans="1:4" x14ac:dyDescent="0.3">
      <c r="A42" s="17">
        <v>36</v>
      </c>
      <c r="B42" s="2">
        <v>37</v>
      </c>
      <c r="C42" s="2">
        <v>479</v>
      </c>
      <c r="D42" s="20" t="s">
        <v>4</v>
      </c>
    </row>
    <row r="43" spans="1:4" x14ac:dyDescent="0.3">
      <c r="A43" s="17">
        <v>37</v>
      </c>
      <c r="B43" s="2">
        <v>45</v>
      </c>
      <c r="C43" s="2">
        <v>475</v>
      </c>
      <c r="D43" s="20" t="s">
        <v>4</v>
      </c>
    </row>
    <row r="44" spans="1:4" x14ac:dyDescent="0.3">
      <c r="A44" s="17">
        <v>38</v>
      </c>
      <c r="B44" s="2">
        <v>42</v>
      </c>
      <c r="C44" s="2">
        <v>486</v>
      </c>
      <c r="D44" s="20" t="s">
        <v>4</v>
      </c>
    </row>
    <row r="45" spans="1:4" x14ac:dyDescent="0.3">
      <c r="A45" s="17">
        <v>39</v>
      </c>
      <c r="B45" s="2">
        <v>37</v>
      </c>
      <c r="C45" s="2">
        <v>497</v>
      </c>
      <c r="D45" s="20" t="s">
        <v>4</v>
      </c>
    </row>
    <row r="46" spans="1:4" x14ac:dyDescent="0.3">
      <c r="A46" s="17">
        <v>40</v>
      </c>
      <c r="B46" s="2">
        <v>45</v>
      </c>
      <c r="C46" s="2">
        <v>463</v>
      </c>
      <c r="D46" s="20" t="s">
        <v>4</v>
      </c>
    </row>
    <row r="47" spans="1:4" x14ac:dyDescent="0.3">
      <c r="A47" s="17">
        <v>41</v>
      </c>
      <c r="B47" s="2">
        <v>42</v>
      </c>
      <c r="C47" s="2">
        <v>490</v>
      </c>
      <c r="D47" s="20" t="s">
        <v>4</v>
      </c>
    </row>
    <row r="48" spans="1:4" x14ac:dyDescent="0.3">
      <c r="A48" s="17">
        <v>42</v>
      </c>
      <c r="B48" s="2">
        <v>42</v>
      </c>
      <c r="C48" s="2">
        <v>460</v>
      </c>
      <c r="D48" s="20" t="s">
        <v>4</v>
      </c>
    </row>
    <row r="49" spans="1:4" x14ac:dyDescent="0.3">
      <c r="A49" s="17">
        <v>43</v>
      </c>
      <c r="B49" s="2">
        <v>45</v>
      </c>
      <c r="C49" s="2">
        <v>483</v>
      </c>
      <c r="D49" s="20" t="s">
        <v>4</v>
      </c>
    </row>
    <row r="50" spans="1:4" x14ac:dyDescent="0.3">
      <c r="A50" s="17">
        <v>44</v>
      </c>
      <c r="B50" s="2">
        <v>43</v>
      </c>
      <c r="C50" s="2">
        <v>476</v>
      </c>
      <c r="D50" s="20" t="s">
        <v>4</v>
      </c>
    </row>
    <row r="51" spans="1:4" x14ac:dyDescent="0.3">
      <c r="A51" s="24">
        <v>47</v>
      </c>
      <c r="B51" s="25">
        <v>44</v>
      </c>
      <c r="C51" s="25">
        <v>480</v>
      </c>
      <c r="D51" s="26" t="s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3EE7-C071-4FD8-8BE3-29FC5AA17692}">
  <dimension ref="A1:I34"/>
  <sheetViews>
    <sheetView tabSelected="1" workbookViewId="0">
      <selection activeCell="G1" sqref="G1:I4"/>
    </sheetView>
  </sheetViews>
  <sheetFormatPr defaultColWidth="11.5546875" defaultRowHeight="14.4" x14ac:dyDescent="0.3"/>
  <cols>
    <col min="1" max="1" width="28.33203125" bestFit="1" customWidth="1"/>
    <col min="2" max="2" width="13.33203125" customWidth="1"/>
    <col min="3" max="5" width="20.6640625" customWidth="1"/>
  </cols>
  <sheetData>
    <row r="1" spans="1:9" ht="31.8" thickBot="1" x14ac:dyDescent="0.35">
      <c r="A1" s="4" t="s">
        <v>6</v>
      </c>
      <c r="B1" s="5" t="s">
        <v>7</v>
      </c>
      <c r="C1" s="6" t="s">
        <v>8</v>
      </c>
      <c r="D1" s="6" t="s">
        <v>9</v>
      </c>
      <c r="E1" s="6" t="s">
        <v>10</v>
      </c>
      <c r="G1" s="29" t="s">
        <v>22</v>
      </c>
      <c r="H1" s="29" t="s">
        <v>23</v>
      </c>
      <c r="I1" s="29" t="s">
        <v>24</v>
      </c>
    </row>
    <row r="2" spans="1:9" ht="16.2" thickBot="1" x14ac:dyDescent="0.35">
      <c r="A2" s="9" t="s">
        <v>11</v>
      </c>
      <c r="B2" s="7" t="s">
        <v>12</v>
      </c>
      <c r="C2" s="7">
        <v>54</v>
      </c>
      <c r="D2" s="7">
        <v>41</v>
      </c>
      <c r="E2" s="7">
        <v>12</v>
      </c>
      <c r="G2" s="27">
        <f>SUM(C2:C16)</f>
        <v>340</v>
      </c>
      <c r="H2" s="28">
        <f>G2/SUM($G$2:$G$4)</f>
        <v>0.32535885167464113</v>
      </c>
      <c r="I2" s="28">
        <f>H2</f>
        <v>0.32535885167464113</v>
      </c>
    </row>
    <row r="3" spans="1:9" ht="16.2" thickBot="1" x14ac:dyDescent="0.35">
      <c r="A3" s="10"/>
      <c r="B3" s="7" t="s">
        <v>13</v>
      </c>
      <c r="C3" s="7">
        <v>34</v>
      </c>
      <c r="D3" s="7">
        <v>31</v>
      </c>
      <c r="E3" s="7">
        <v>13</v>
      </c>
      <c r="G3" s="27">
        <f>SUM(D2:D16)</f>
        <v>539</v>
      </c>
      <c r="H3" s="28">
        <f>G3/SUM($G$2:$G$4)</f>
        <v>0.51578947368421058</v>
      </c>
      <c r="I3" s="28">
        <f>H3+I2</f>
        <v>0.84114832535885165</v>
      </c>
    </row>
    <row r="4" spans="1:9" ht="16.2" thickBot="1" x14ac:dyDescent="0.35">
      <c r="A4" s="10"/>
      <c r="B4" s="7" t="s">
        <v>14</v>
      </c>
      <c r="C4" s="7">
        <v>22</v>
      </c>
      <c r="D4" s="7">
        <v>28</v>
      </c>
      <c r="E4" s="7">
        <v>16</v>
      </c>
      <c r="G4" s="27">
        <f>SUM(E2:E16)</f>
        <v>166</v>
      </c>
      <c r="H4" s="28">
        <f>G4/SUM($G$2:$G$4)</f>
        <v>0.15885167464114833</v>
      </c>
      <c r="I4" s="28">
        <f>H4+I3</f>
        <v>1</v>
      </c>
    </row>
    <row r="5" spans="1:9" ht="16.2" thickBot="1" x14ac:dyDescent="0.35">
      <c r="A5" s="10"/>
      <c r="B5" s="7" t="s">
        <v>15</v>
      </c>
      <c r="C5" s="7">
        <v>16</v>
      </c>
      <c r="D5" s="7">
        <v>26</v>
      </c>
      <c r="E5" s="7">
        <v>13</v>
      </c>
    </row>
    <row r="6" spans="1:9" ht="16.2" thickBot="1" x14ac:dyDescent="0.35">
      <c r="A6" s="11"/>
      <c r="B6" s="7" t="s">
        <v>16</v>
      </c>
      <c r="C6" s="7">
        <v>25</v>
      </c>
      <c r="D6" s="7">
        <v>45</v>
      </c>
      <c r="E6" s="7">
        <v>6</v>
      </c>
    </row>
    <row r="7" spans="1:9" ht="16.2" thickBot="1" x14ac:dyDescent="0.35">
      <c r="A7" s="12" t="s">
        <v>17</v>
      </c>
      <c r="B7" s="8" t="s">
        <v>12</v>
      </c>
      <c r="C7" s="8">
        <v>21</v>
      </c>
      <c r="D7" s="8">
        <v>65</v>
      </c>
      <c r="E7" s="8">
        <v>14</v>
      </c>
    </row>
    <row r="8" spans="1:9" ht="16.2" thickBot="1" x14ac:dyDescent="0.35">
      <c r="A8" s="13"/>
      <c r="B8" s="8" t="s">
        <v>13</v>
      </c>
      <c r="C8" s="8">
        <v>12</v>
      </c>
      <c r="D8" s="8">
        <v>16</v>
      </c>
      <c r="E8" s="8">
        <v>8</v>
      </c>
    </row>
    <row r="9" spans="1:9" ht="16.2" thickBot="1" x14ac:dyDescent="0.35">
      <c r="A9" s="13"/>
      <c r="B9" s="8" t="s">
        <v>14</v>
      </c>
      <c r="C9" s="8">
        <v>6</v>
      </c>
      <c r="D9" s="8">
        <v>27</v>
      </c>
      <c r="E9" s="8">
        <v>9</v>
      </c>
    </row>
    <row r="10" spans="1:9" ht="16.2" thickBot="1" x14ac:dyDescent="0.35">
      <c r="A10" s="13"/>
      <c r="B10" s="8" t="s">
        <v>15</v>
      </c>
      <c r="C10" s="8">
        <v>5</v>
      </c>
      <c r="D10" s="8">
        <v>42</v>
      </c>
      <c r="E10" s="8">
        <v>7</v>
      </c>
    </row>
    <row r="11" spans="1:9" ht="16.2" thickBot="1" x14ac:dyDescent="0.35">
      <c r="A11" s="14"/>
      <c r="B11" s="8" t="s">
        <v>16</v>
      </c>
      <c r="C11" s="8">
        <v>7</v>
      </c>
      <c r="D11" s="8">
        <v>17</v>
      </c>
      <c r="E11" s="8">
        <v>3</v>
      </c>
    </row>
    <row r="12" spans="1:9" ht="16.2" thickBot="1" x14ac:dyDescent="0.35">
      <c r="A12" s="9" t="s">
        <v>18</v>
      </c>
      <c r="B12" s="7" t="s">
        <v>12</v>
      </c>
      <c r="C12" s="7">
        <v>39</v>
      </c>
      <c r="D12" s="7">
        <v>45</v>
      </c>
      <c r="E12" s="7">
        <v>25</v>
      </c>
    </row>
    <row r="13" spans="1:9" ht="16.2" thickBot="1" x14ac:dyDescent="0.35">
      <c r="A13" s="10"/>
      <c r="B13" s="7" t="s">
        <v>13</v>
      </c>
      <c r="C13" s="7">
        <v>20</v>
      </c>
      <c r="D13" s="7">
        <v>26</v>
      </c>
      <c r="E13" s="7">
        <v>16</v>
      </c>
    </row>
    <row r="14" spans="1:9" ht="16.2" thickBot="1" x14ac:dyDescent="0.35">
      <c r="A14" s="10"/>
      <c r="B14" s="7" t="s">
        <v>14</v>
      </c>
      <c r="C14" s="7">
        <v>19</v>
      </c>
      <c r="D14" s="7">
        <v>43</v>
      </c>
      <c r="E14" s="7">
        <v>9</v>
      </c>
    </row>
    <row r="15" spans="1:9" ht="16.2" thickBot="1" x14ac:dyDescent="0.35">
      <c r="A15" s="10"/>
      <c r="B15" s="7" t="s">
        <v>15</v>
      </c>
      <c r="C15" s="7">
        <v>22</v>
      </c>
      <c r="D15" s="7">
        <v>54</v>
      </c>
      <c r="E15" s="7">
        <v>6</v>
      </c>
    </row>
    <row r="16" spans="1:9" ht="16.2" thickBot="1" x14ac:dyDescent="0.35">
      <c r="A16" s="11"/>
      <c r="B16" s="7" t="s">
        <v>16</v>
      </c>
      <c r="C16" s="7">
        <v>38</v>
      </c>
      <c r="D16" s="7">
        <v>33</v>
      </c>
      <c r="E16" s="7">
        <v>9</v>
      </c>
    </row>
    <row r="18" spans="1:5" ht="15" thickBot="1" x14ac:dyDescent="0.35"/>
    <row r="19" spans="1:5" ht="47.4" thickBot="1" x14ac:dyDescent="0.35">
      <c r="A19" s="4" t="s">
        <v>6</v>
      </c>
      <c r="B19" s="5" t="s">
        <v>7</v>
      </c>
      <c r="C19" s="6" t="s">
        <v>19</v>
      </c>
      <c r="D19" s="6" t="s">
        <v>20</v>
      </c>
      <c r="E19" s="6" t="s">
        <v>21</v>
      </c>
    </row>
    <row r="20" spans="1:5" ht="16.2" thickBot="1" x14ac:dyDescent="0.35">
      <c r="A20" s="9" t="s">
        <v>11</v>
      </c>
      <c r="B20" s="7" t="s">
        <v>12</v>
      </c>
      <c r="C20" s="7">
        <v>12</v>
      </c>
      <c r="D20" s="7">
        <v>4</v>
      </c>
      <c r="E20" s="7">
        <v>23</v>
      </c>
    </row>
    <row r="21" spans="1:5" ht="16.2" thickBot="1" x14ac:dyDescent="0.35">
      <c r="A21" s="10"/>
      <c r="B21" s="7" t="s">
        <v>13</v>
      </c>
      <c r="C21" s="7">
        <v>7</v>
      </c>
      <c r="D21" s="7">
        <v>2</v>
      </c>
      <c r="E21" s="7">
        <v>18</v>
      </c>
    </row>
    <row r="22" spans="1:5" ht="16.2" thickBot="1" x14ac:dyDescent="0.35">
      <c r="A22" s="10"/>
      <c r="B22" s="7" t="s">
        <v>14</v>
      </c>
      <c r="C22" s="7">
        <v>1</v>
      </c>
      <c r="D22" s="7">
        <v>1</v>
      </c>
      <c r="E22" s="7">
        <v>14</v>
      </c>
    </row>
    <row r="23" spans="1:5" ht="16.2" thickBot="1" x14ac:dyDescent="0.35">
      <c r="A23" s="10"/>
      <c r="B23" s="7" t="s">
        <v>15</v>
      </c>
      <c r="C23" s="7">
        <v>6</v>
      </c>
      <c r="D23" s="7">
        <v>1</v>
      </c>
      <c r="E23" s="7">
        <v>15</v>
      </c>
    </row>
    <row r="24" spans="1:5" ht="16.2" thickBot="1" x14ac:dyDescent="0.35">
      <c r="A24" s="11"/>
      <c r="B24" s="7" t="s">
        <v>16</v>
      </c>
      <c r="C24" s="7">
        <v>4</v>
      </c>
      <c r="D24" s="7">
        <v>3</v>
      </c>
      <c r="E24" s="7">
        <v>22</v>
      </c>
    </row>
    <row r="25" spans="1:5" ht="16.2" thickBot="1" x14ac:dyDescent="0.35">
      <c r="A25" s="12" t="s">
        <v>17</v>
      </c>
      <c r="B25" s="8" t="s">
        <v>12</v>
      </c>
      <c r="C25" s="8">
        <v>4</v>
      </c>
      <c r="D25" s="8">
        <v>3</v>
      </c>
      <c r="E25" s="8">
        <v>18</v>
      </c>
    </row>
    <row r="26" spans="1:5" ht="16.2" thickBot="1" x14ac:dyDescent="0.35">
      <c r="A26" s="13"/>
      <c r="B26" s="8" t="s">
        <v>13</v>
      </c>
      <c r="C26" s="8">
        <v>8</v>
      </c>
      <c r="D26" s="8">
        <v>3</v>
      </c>
      <c r="E26" s="8">
        <v>12</v>
      </c>
    </row>
    <row r="27" spans="1:5" ht="16.2" thickBot="1" x14ac:dyDescent="0.35">
      <c r="A27" s="13"/>
      <c r="B27" s="8" t="s">
        <v>14</v>
      </c>
      <c r="C27" s="8">
        <v>7</v>
      </c>
      <c r="D27" s="8">
        <v>2</v>
      </c>
      <c r="E27" s="8">
        <v>21</v>
      </c>
    </row>
    <row r="28" spans="1:5" ht="16.2" thickBot="1" x14ac:dyDescent="0.35">
      <c r="A28" s="13"/>
      <c r="B28" s="8" t="s">
        <v>15</v>
      </c>
      <c r="C28" s="8">
        <v>8</v>
      </c>
      <c r="D28" s="8">
        <v>3</v>
      </c>
      <c r="E28" s="8">
        <v>21</v>
      </c>
    </row>
    <row r="29" spans="1:5" ht="16.2" thickBot="1" x14ac:dyDescent="0.35">
      <c r="A29" s="14"/>
      <c r="B29" s="8" t="s">
        <v>16</v>
      </c>
      <c r="C29" s="8">
        <v>1</v>
      </c>
      <c r="D29" s="8">
        <v>2</v>
      </c>
      <c r="E29" s="8">
        <v>24</v>
      </c>
    </row>
    <row r="30" spans="1:5" ht="16.2" thickBot="1" x14ac:dyDescent="0.35">
      <c r="A30" s="9" t="s">
        <v>18</v>
      </c>
      <c r="B30" s="7" t="s">
        <v>12</v>
      </c>
      <c r="C30" s="7">
        <v>9</v>
      </c>
      <c r="D30" s="7">
        <v>6</v>
      </c>
      <c r="E30" s="7">
        <v>23</v>
      </c>
    </row>
    <row r="31" spans="1:5" ht="16.2" thickBot="1" x14ac:dyDescent="0.35">
      <c r="A31" s="10"/>
      <c r="B31" s="7" t="s">
        <v>13</v>
      </c>
      <c r="C31" s="7">
        <v>4</v>
      </c>
      <c r="D31" s="7">
        <v>1</v>
      </c>
      <c r="E31" s="7">
        <v>24</v>
      </c>
    </row>
    <row r="32" spans="1:5" ht="16.2" thickBot="1" x14ac:dyDescent="0.35">
      <c r="A32" s="10"/>
      <c r="B32" s="7" t="s">
        <v>14</v>
      </c>
      <c r="C32" s="7">
        <v>4</v>
      </c>
      <c r="D32" s="7">
        <v>2</v>
      </c>
      <c r="E32" s="7">
        <v>10</v>
      </c>
    </row>
    <row r="33" spans="1:5" ht="16.2" thickBot="1" x14ac:dyDescent="0.35">
      <c r="A33" s="10"/>
      <c r="B33" s="7" t="s">
        <v>15</v>
      </c>
      <c r="C33" s="7">
        <v>4</v>
      </c>
      <c r="D33" s="7">
        <v>1</v>
      </c>
      <c r="E33" s="7">
        <v>14</v>
      </c>
    </row>
    <row r="34" spans="1:5" ht="16.2" thickBot="1" x14ac:dyDescent="0.35">
      <c r="A34" s="11"/>
      <c r="B34" s="7" t="s">
        <v>16</v>
      </c>
      <c r="C34" s="7">
        <v>3</v>
      </c>
      <c r="D34" s="7">
        <v>3</v>
      </c>
      <c r="E34" s="7">
        <v>22</v>
      </c>
    </row>
  </sheetData>
  <mergeCells count="6">
    <mergeCell ref="A30:A34"/>
    <mergeCell ref="A2:A6"/>
    <mergeCell ref="A7:A11"/>
    <mergeCell ref="A12:A16"/>
    <mergeCell ref="A20:A24"/>
    <mergeCell ref="A25:A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Caso1</vt:lpstr>
      <vt:lpstr>Caso2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de la Peña</dc:creator>
  <cp:lastModifiedBy>Alexander Kalis</cp:lastModifiedBy>
  <dcterms:created xsi:type="dcterms:W3CDTF">2021-04-13T10:14:00Z</dcterms:created>
  <dcterms:modified xsi:type="dcterms:W3CDTF">2021-05-26T13:13:47Z</dcterms:modified>
</cp:coreProperties>
</file>