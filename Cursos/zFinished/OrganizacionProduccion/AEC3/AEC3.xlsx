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06"/>
  <workbookPr/>
  <xr:revisionPtr revIDLastSave="0" documentId="8_{560A3BAF-BF35-4185-91C1-7508A8BF881D}" xr6:coauthVersionLast="47" xr6:coauthVersionMax="47" xr10:uidLastSave="{00000000-0000-0000-0000-000000000000}"/>
  <bookViews>
    <workbookView xWindow="240" yWindow="105" windowWidth="14805" windowHeight="8010" activeTab="1" xr2:uid="{00000000-000D-0000-FFFF-FFFF00000000}"/>
  </bookViews>
  <sheets>
    <sheet name="Sheet1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3" i="2" l="1"/>
  <c r="E24" i="2"/>
  <c r="M18" i="2"/>
  <c r="M17" i="2"/>
  <c r="M16" i="2"/>
  <c r="M15" i="2"/>
  <c r="G16" i="2"/>
  <c r="G17" i="2"/>
  <c r="G18" i="2"/>
  <c r="G19" i="2"/>
  <c r="G15" i="2"/>
  <c r="F16" i="2"/>
  <c r="F17" i="2"/>
  <c r="F18" i="2"/>
  <c r="F19" i="2"/>
  <c r="F15" i="2"/>
  <c r="E15" i="2"/>
  <c r="E16" i="2"/>
  <c r="E17" i="2"/>
  <c r="E18" i="2"/>
  <c r="E19" i="2"/>
  <c r="D16" i="2"/>
  <c r="D17" i="2"/>
  <c r="D18" i="2"/>
  <c r="D19" i="2"/>
  <c r="D15" i="2"/>
  <c r="C16" i="2"/>
  <c r="C17" i="2"/>
  <c r="C18" i="2"/>
  <c r="C19" i="2"/>
  <c r="C15" i="2"/>
  <c r="L19" i="1"/>
  <c r="L18" i="1"/>
  <c r="L17" i="1"/>
  <c r="L16" i="1"/>
  <c r="I17" i="1"/>
  <c r="I18" i="1"/>
  <c r="I19" i="1"/>
  <c r="I20" i="1"/>
  <c r="I16" i="1"/>
  <c r="H17" i="1"/>
  <c r="H18" i="1"/>
  <c r="H19" i="1"/>
  <c r="H20" i="1"/>
  <c r="H16" i="1"/>
  <c r="F17" i="1"/>
  <c r="F18" i="1"/>
  <c r="F19" i="1"/>
  <c r="F20" i="1"/>
  <c r="F16" i="1"/>
  <c r="G17" i="1"/>
  <c r="G18" i="1"/>
  <c r="G19" i="1"/>
  <c r="G20" i="1"/>
  <c r="G16" i="1"/>
  <c r="E17" i="1"/>
  <c r="E18" i="1"/>
  <c r="E19" i="1"/>
  <c r="E20" i="1"/>
  <c r="E16" i="1"/>
  <c r="D17" i="1"/>
  <c r="D18" i="1"/>
  <c r="D19" i="1"/>
  <c r="D20" i="1"/>
  <c r="D16" i="1"/>
  <c r="C17" i="1"/>
  <c r="C18" i="1"/>
  <c r="C19" i="1"/>
  <c r="C20" i="1"/>
</calcChain>
</file>

<file path=xl/sharedStrings.xml><?xml version="1.0" encoding="utf-8"?>
<sst xmlns="http://schemas.openxmlformats.org/spreadsheetml/2006/main" count="57" uniqueCount="36">
  <si>
    <t>Centro de 
trabajo</t>
  </si>
  <si>
    <t>U</t>
  </si>
  <si>
    <t>E</t>
  </si>
  <si>
    <t>Tiempo 
prep (h.e.)</t>
  </si>
  <si>
    <t>0.96</t>
  </si>
  <si>
    <t>0.98</t>
  </si>
  <si>
    <t>0.75</t>
  </si>
  <si>
    <t>0.97</t>
  </si>
  <si>
    <t>0.25</t>
  </si>
  <si>
    <t>Tamano lote</t>
  </si>
  <si>
    <t>0.95</t>
  </si>
  <si>
    <t>0.99</t>
  </si>
  <si>
    <t>0.1</t>
  </si>
  <si>
    <t>Operación</t>
  </si>
  <si>
    <t>CT</t>
  </si>
  <si>
    <t>tr</t>
  </si>
  <si>
    <t>d</t>
  </si>
  <si>
    <t>0.045</t>
  </si>
  <si>
    <t>0.04</t>
  </si>
  <si>
    <t>0.02</t>
  </si>
  <si>
    <t>0.01</t>
  </si>
  <si>
    <t>0.03</t>
  </si>
  <si>
    <t>0.05</t>
  </si>
  <si>
    <t>te (h.e.)</t>
  </si>
  <si>
    <t>tprep</t>
  </si>
  <si>
    <t>tcarga unitario</t>
  </si>
  <si>
    <t>TCarga lote</t>
  </si>
  <si>
    <t>Centro de Trabajo</t>
  </si>
  <si>
    <t>Total</t>
  </si>
  <si>
    <t>a</t>
  </si>
  <si>
    <t>ar</t>
  </si>
  <si>
    <t>tcarga unitario (def)</t>
  </si>
  <si>
    <t>TCarga lote (def)</t>
  </si>
  <si>
    <t>Tiempo total</t>
  </si>
  <si>
    <t>Aprovechamiento ruta</t>
  </si>
  <si>
    <t>Lote a emitir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</si>
</sst>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4">
    <font>
      <sz val="11"/>
      <color theme="1"/>
      <name val="Aptos Narrow"/>
      <family val="2"/>
      <scheme val="minor"/>
    </font>
    <font>
      <sz val="11"/>
      <color rgb="FF001A1E"/>
      <name val="-Apple-System"/>
      <charset val="1"/>
    </font>
    <font>
      <b/>
      <sz val="11"/>
      <color theme="1"/>
      <name val="Aptos Narrow"/>
      <family val="2"/>
      <scheme val="minor"/>
    </font>
    <font>
      <b/>
      <sz val="11"/>
      <color rgb="FF001A1E"/>
      <name val="-Apple-System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42"/>
        <bgColor indexed="64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ck">
        <color rgb="FF3C3C3C"/>
      </left>
      <right style="thick">
        <color rgb="FF3C3C3C"/>
      </right>
      <top style="thick">
        <color rgb="FF3C3C3C"/>
      </top>
      <bottom style="thick">
        <color rgb="FF3C3C3C"/>
      </bottom>
      <diagonal/>
    </border>
    <border>
      <left/>
      <right style="thick">
        <color rgb="FF3C3C3C"/>
      </right>
      <top style="thick">
        <color rgb="FF3C3C3C"/>
      </top>
      <bottom style="thick">
        <color rgb="FF3C3C3C"/>
      </bottom>
      <diagonal/>
    </border>
    <border>
      <left style="thick">
        <color rgb="FF3C3C3C"/>
      </left>
      <right style="thick">
        <color rgb="FF3C3C3C"/>
      </right>
      <top/>
      <bottom style="thick">
        <color rgb="FF3C3C3C"/>
      </bottom>
      <diagonal/>
    </border>
    <border>
      <left/>
      <right style="thick">
        <color rgb="FF3C3C3C"/>
      </right>
      <top/>
      <bottom style="thick">
        <color rgb="FF3C3C3C"/>
      </bottom>
      <diagonal/>
    </border>
    <border>
      <left style="thin">
        <color rgb="FF3C3C3C"/>
      </left>
      <right style="thin">
        <color rgb="FF3C3C3C"/>
      </right>
      <top style="thin">
        <color rgb="FF3C3C3C"/>
      </top>
      <bottom style="thin">
        <color rgb="FF3C3C3C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 wrapText="1"/>
    </xf>
    <xf numFmtId="0" fontId="3" fillId="4" borderId="10" xfId="0" applyFont="1" applyFill="1" applyBorder="1" applyAlignment="1">
      <alignment horizontal="center" vertical="center" wrapText="1"/>
    </xf>
    <xf numFmtId="0" fontId="3" fillId="4" borderId="11" xfId="0" applyFont="1" applyFill="1" applyBorder="1" applyAlignment="1">
      <alignment horizontal="center" vertical="center" wrapText="1"/>
    </xf>
    <xf numFmtId="0" fontId="3" fillId="4" borderId="14" xfId="0" applyFont="1" applyFill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wrapText="1"/>
    </xf>
    <xf numFmtId="0" fontId="3" fillId="4" borderId="2" xfId="0" applyFont="1" applyFill="1" applyBorder="1" applyAlignment="1">
      <alignment horizontal="center" wrapText="1"/>
    </xf>
    <xf numFmtId="0" fontId="0" fillId="3" borderId="3" xfId="0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wrapText="1"/>
    </xf>
    <xf numFmtId="0" fontId="3" fillId="4" borderId="4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 wrapText="1"/>
    </xf>
    <xf numFmtId="0" fontId="1" fillId="2" borderId="7" xfId="0" applyFont="1" applyFill="1" applyBorder="1" applyAlignment="1">
      <alignment horizontal="center" wrapText="1"/>
    </xf>
    <xf numFmtId="0" fontId="0" fillId="0" borderId="8" xfId="0" applyBorder="1" applyAlignment="1">
      <alignment horizontal="center" vertical="center"/>
    </xf>
    <xf numFmtId="0" fontId="1" fillId="2" borderId="8" xfId="0" applyFont="1" applyFill="1" applyBorder="1" applyAlignment="1">
      <alignment horizontal="center" wrapText="1"/>
    </xf>
    <xf numFmtId="0" fontId="1" fillId="2" borderId="9" xfId="0" applyFont="1" applyFill="1" applyBorder="1" applyAlignment="1">
      <alignment horizontal="center" wrapText="1"/>
    </xf>
    <xf numFmtId="164" fontId="1" fillId="5" borderId="13" xfId="0" applyNumberFormat="1" applyFont="1" applyFill="1" applyBorder="1" applyAlignment="1">
      <alignment horizontal="center" vertical="center" wrapText="1"/>
    </xf>
    <xf numFmtId="164" fontId="1" fillId="0" borderId="13" xfId="0" applyNumberFormat="1" applyFont="1" applyBorder="1" applyAlignment="1">
      <alignment horizontal="center" vertical="center" wrapText="1"/>
    </xf>
    <xf numFmtId="164" fontId="1" fillId="0" borderId="14" xfId="0" applyNumberFormat="1" applyFont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/>
    </xf>
    <xf numFmtId="0" fontId="3" fillId="4" borderId="14" xfId="0" applyFont="1" applyFill="1" applyBorder="1" applyAlignment="1">
      <alignment wrapText="1"/>
    </xf>
    <xf numFmtId="0" fontId="1" fillId="2" borderId="14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164" fontId="1" fillId="0" borderId="14" xfId="0" applyNumberFormat="1" applyFont="1" applyBorder="1" applyAlignment="1">
      <alignment wrapText="1"/>
    </xf>
    <xf numFmtId="164" fontId="0" fillId="0" borderId="0" xfId="0" applyNumberFormat="1"/>
    <xf numFmtId="10" fontId="0" fillId="0" borderId="1" xfId="0" applyNumberFormat="1" applyBorder="1"/>
    <xf numFmtId="2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152400</xdr:colOff>
      <xdr:row>5</xdr:row>
      <xdr:rowOff>9525</xdr:rowOff>
    </xdr:from>
    <xdr:to>
      <xdr:col>10</xdr:col>
      <xdr:colOff>828675</xdr:colOff>
      <xdr:row>13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1EDE5A0-5741-DB37-5354-42612C8A47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90850" y="1419225"/>
          <a:ext cx="4572000" cy="16764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2</xdr:row>
      <xdr:rowOff>104775</xdr:rowOff>
    </xdr:from>
    <xdr:to>
      <xdr:col>8</xdr:col>
      <xdr:colOff>314325</xdr:colOff>
      <xdr:row>11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B80637C-9152-0D43-56F2-598040EBA0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9125" y="485775"/>
          <a:ext cx="4572000" cy="16192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L20"/>
  <sheetViews>
    <sheetView workbookViewId="0">
      <selection activeCell="H20" sqref="H20"/>
    </sheetView>
  </sheetViews>
  <sheetFormatPr defaultRowHeight="15"/>
  <cols>
    <col min="1" max="1" width="12.5703125" customWidth="1"/>
    <col min="4" max="4" width="11.7109375" customWidth="1"/>
    <col min="6" max="6" width="12.7109375" customWidth="1"/>
    <col min="11" max="11" width="13.28515625" customWidth="1"/>
  </cols>
  <sheetData>
    <row r="3" spans="1:12" ht="45" customHeight="1">
      <c r="A3" s="9" t="s">
        <v>0</v>
      </c>
      <c r="B3" s="10" t="s">
        <v>1</v>
      </c>
      <c r="C3" s="10" t="s">
        <v>2</v>
      </c>
      <c r="D3" s="11" t="s">
        <v>3</v>
      </c>
      <c r="E3" s="1"/>
    </row>
    <row r="4" spans="1:12" ht="19.5" customHeight="1">
      <c r="A4" s="4">
        <v>1</v>
      </c>
      <c r="B4" s="3" t="s">
        <v>4</v>
      </c>
      <c r="C4" s="3" t="s">
        <v>5</v>
      </c>
      <c r="D4" s="5" t="s">
        <v>6</v>
      </c>
    </row>
    <row r="5" spans="1:12" ht="16.5" customHeight="1">
      <c r="A5" s="4">
        <v>2</v>
      </c>
      <c r="B5" s="3" t="s">
        <v>7</v>
      </c>
      <c r="C5" s="3" t="s">
        <v>7</v>
      </c>
      <c r="D5" s="5" t="s">
        <v>8</v>
      </c>
      <c r="F5" t="s">
        <v>9</v>
      </c>
      <c r="G5">
        <v>250</v>
      </c>
    </row>
    <row r="6" spans="1:12" ht="16.5">
      <c r="A6" s="6">
        <v>3</v>
      </c>
      <c r="B6" s="7" t="s">
        <v>10</v>
      </c>
      <c r="C6" s="7" t="s">
        <v>11</v>
      </c>
      <c r="D6" s="8" t="s">
        <v>12</v>
      </c>
    </row>
    <row r="8" spans="1:12" ht="16.5">
      <c r="A8" s="18" t="s">
        <v>13</v>
      </c>
      <c r="B8" s="19" t="s">
        <v>14</v>
      </c>
      <c r="C8" s="20" t="s">
        <v>15</v>
      </c>
      <c r="D8" s="21" t="s">
        <v>16</v>
      </c>
    </row>
    <row r="9" spans="1:12" ht="16.5">
      <c r="A9" s="22">
        <v>1</v>
      </c>
      <c r="B9" s="2">
        <v>3</v>
      </c>
      <c r="C9" s="17" t="s">
        <v>17</v>
      </c>
      <c r="D9" s="23" t="s">
        <v>18</v>
      </c>
    </row>
    <row r="10" spans="1:12" ht="16.5">
      <c r="A10" s="22">
        <v>2</v>
      </c>
      <c r="B10" s="2">
        <v>2</v>
      </c>
      <c r="C10" s="17" t="s">
        <v>19</v>
      </c>
      <c r="D10" s="23" t="s">
        <v>19</v>
      </c>
    </row>
    <row r="11" spans="1:12" ht="16.5">
      <c r="A11" s="22">
        <v>3</v>
      </c>
      <c r="B11" s="2">
        <v>1</v>
      </c>
      <c r="C11" s="17" t="s">
        <v>20</v>
      </c>
      <c r="D11" s="23" t="s">
        <v>21</v>
      </c>
    </row>
    <row r="12" spans="1:12" ht="16.5">
      <c r="A12" s="22">
        <v>4</v>
      </c>
      <c r="B12" s="2">
        <v>3</v>
      </c>
      <c r="C12" s="17" t="s">
        <v>21</v>
      </c>
      <c r="D12" s="23" t="s">
        <v>20</v>
      </c>
    </row>
    <row r="13" spans="1:12" ht="16.5">
      <c r="A13" s="24">
        <v>5</v>
      </c>
      <c r="B13" s="25">
        <v>1</v>
      </c>
      <c r="C13" s="26" t="s">
        <v>22</v>
      </c>
      <c r="D13" s="27" t="s">
        <v>22</v>
      </c>
    </row>
    <row r="15" spans="1:12" ht="50.25">
      <c r="A15" s="12" t="s">
        <v>13</v>
      </c>
      <c r="B15" s="13" t="s">
        <v>15</v>
      </c>
      <c r="C15" s="13" t="s">
        <v>14</v>
      </c>
      <c r="D15" s="13" t="s">
        <v>1</v>
      </c>
      <c r="E15" s="13" t="s">
        <v>2</v>
      </c>
      <c r="F15" s="13" t="s">
        <v>23</v>
      </c>
      <c r="G15" s="13" t="s">
        <v>24</v>
      </c>
      <c r="H15" s="13" t="s">
        <v>25</v>
      </c>
      <c r="I15" s="13" t="s">
        <v>26</v>
      </c>
      <c r="J15" s="1"/>
      <c r="K15" s="14" t="s">
        <v>27</v>
      </c>
      <c r="L15" s="14" t="s">
        <v>26</v>
      </c>
    </row>
    <row r="16" spans="1:12" ht="16.5">
      <c r="A16" s="15">
        <v>1</v>
      </c>
      <c r="B16" s="28" t="s">
        <v>17</v>
      </c>
      <c r="C16" s="28">
        <v>3</v>
      </c>
      <c r="D16" s="28" t="str">
        <f>VLOOKUP(C16,$A$4:$B$6,2)</f>
        <v>0.95</v>
      </c>
      <c r="E16" s="28" t="str">
        <f>VLOOKUP(C16,$A$4:$D$6,3)</f>
        <v>0.99</v>
      </c>
      <c r="F16" s="29">
        <f>B16*D16*E16</f>
        <v>4.2322499999999999E-2</v>
      </c>
      <c r="G16" s="28" t="str">
        <f>VLOOKUP(C16,$A$4:$D$6,4)</f>
        <v>0.1</v>
      </c>
      <c r="H16" s="29">
        <f>F16+G16/$G$5</f>
        <v>4.2722499999999997E-2</v>
      </c>
      <c r="I16" s="29">
        <f>H16*$G$5</f>
        <v>10.680624999999999</v>
      </c>
      <c r="J16" s="1"/>
      <c r="K16" s="16">
        <v>1</v>
      </c>
      <c r="L16" s="30">
        <f>I18+I20</f>
        <v>15.612</v>
      </c>
    </row>
    <row r="17" spans="1:12" ht="16.5">
      <c r="A17" s="15">
        <v>2</v>
      </c>
      <c r="B17" s="28" t="s">
        <v>19</v>
      </c>
      <c r="C17" s="28">
        <f t="shared" ref="C17:C20" si="0">B10</f>
        <v>2</v>
      </c>
      <c r="D17" s="28" t="str">
        <f t="shared" ref="D17:D20" si="1">VLOOKUP(C17,$A$4:$B$6,2)</f>
        <v>0.97</v>
      </c>
      <c r="E17" s="28" t="str">
        <f t="shared" ref="E17:E20" si="2">VLOOKUP(C17,$A$4:$D$6,3)</f>
        <v>0.97</v>
      </c>
      <c r="F17" s="29">
        <f t="shared" ref="F17:F20" si="3">B17*D17*E17</f>
        <v>1.8818000000000001E-2</v>
      </c>
      <c r="G17" s="28" t="str">
        <f t="shared" ref="G17:G20" si="4">VLOOKUP(C17,$A$4:$D$6,4)</f>
        <v>0.25</v>
      </c>
      <c r="H17" s="29">
        <f t="shared" ref="H17:H20" si="5">F17+G17/$G$5</f>
        <v>1.9818000000000002E-2</v>
      </c>
      <c r="I17" s="29">
        <f t="shared" ref="I17:I20" si="6">H17*$G$5</f>
        <v>4.9545000000000003</v>
      </c>
      <c r="J17" s="1"/>
      <c r="K17" s="16">
        <v>2</v>
      </c>
      <c r="L17" s="30">
        <f>I17</f>
        <v>4.9545000000000003</v>
      </c>
    </row>
    <row r="18" spans="1:12" ht="16.5">
      <c r="A18" s="15">
        <v>3</v>
      </c>
      <c r="B18" s="28" t="s">
        <v>20</v>
      </c>
      <c r="C18" s="28">
        <f t="shared" si="0"/>
        <v>1</v>
      </c>
      <c r="D18" s="28" t="str">
        <f t="shared" si="1"/>
        <v>0.96</v>
      </c>
      <c r="E18" s="28" t="str">
        <f t="shared" si="2"/>
        <v>0.98</v>
      </c>
      <c r="F18" s="29">
        <f t="shared" si="3"/>
        <v>9.4079999999999997E-3</v>
      </c>
      <c r="G18" s="28" t="str">
        <f t="shared" si="4"/>
        <v>0.75</v>
      </c>
      <c r="H18" s="29">
        <f t="shared" si="5"/>
        <v>1.2407999999999999E-2</v>
      </c>
      <c r="I18" s="29">
        <f t="shared" si="6"/>
        <v>3.1019999999999999</v>
      </c>
      <c r="J18" s="1"/>
      <c r="K18" s="16">
        <v>3</v>
      </c>
      <c r="L18" s="30">
        <f>I16+I19</f>
        <v>17.834374999999998</v>
      </c>
    </row>
    <row r="19" spans="1:12" ht="16.5">
      <c r="A19" s="15">
        <v>4</v>
      </c>
      <c r="B19" s="28" t="s">
        <v>21</v>
      </c>
      <c r="C19" s="28">
        <f t="shared" si="0"/>
        <v>3</v>
      </c>
      <c r="D19" s="28" t="str">
        <f t="shared" si="1"/>
        <v>0.95</v>
      </c>
      <c r="E19" s="28" t="str">
        <f t="shared" si="2"/>
        <v>0.99</v>
      </c>
      <c r="F19" s="29">
        <f t="shared" si="3"/>
        <v>2.8214999999999997E-2</v>
      </c>
      <c r="G19" s="28" t="str">
        <f t="shared" si="4"/>
        <v>0.1</v>
      </c>
      <c r="H19" s="29">
        <f t="shared" si="5"/>
        <v>2.8614999999999998E-2</v>
      </c>
      <c r="I19" s="29">
        <f t="shared" si="6"/>
        <v>7.1537499999999996</v>
      </c>
      <c r="J19" s="1"/>
      <c r="K19" s="1" t="s">
        <v>28</v>
      </c>
      <c r="L19" s="31">
        <f>I16+I17+I19+I20</f>
        <v>35.298874999999995</v>
      </c>
    </row>
    <row r="20" spans="1:12" ht="16.5">
      <c r="A20" s="15">
        <v>5</v>
      </c>
      <c r="B20" s="28" t="s">
        <v>22</v>
      </c>
      <c r="C20" s="28">
        <f t="shared" si="0"/>
        <v>1</v>
      </c>
      <c r="D20" s="28" t="str">
        <f t="shared" si="1"/>
        <v>0.96</v>
      </c>
      <c r="E20" s="28" t="str">
        <f t="shared" si="2"/>
        <v>0.98</v>
      </c>
      <c r="F20" s="29">
        <f t="shared" si="3"/>
        <v>4.7039999999999998E-2</v>
      </c>
      <c r="G20" s="28" t="str">
        <f t="shared" si="4"/>
        <v>0.75</v>
      </c>
      <c r="H20" s="29">
        <f t="shared" si="5"/>
        <v>5.0040000000000001E-2</v>
      </c>
      <c r="I20" s="29">
        <f t="shared" si="6"/>
        <v>12.51</v>
      </c>
      <c r="J20" s="1"/>
      <c r="K20" s="1"/>
      <c r="L20" s="1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C6D6F-CFDD-44FA-A7E7-AA4B687CCDB5}">
  <dimension ref="A14:M24"/>
  <sheetViews>
    <sheetView tabSelected="1" workbookViewId="0">
      <selection activeCell="E24" sqref="E24"/>
    </sheetView>
  </sheetViews>
  <sheetFormatPr defaultRowHeight="15"/>
  <cols>
    <col min="1" max="1" width="11.42578125" customWidth="1"/>
  </cols>
  <sheetData>
    <row r="14" spans="1:13" ht="50.25">
      <c r="A14" s="12" t="s">
        <v>13</v>
      </c>
      <c r="B14" s="13" t="s">
        <v>16</v>
      </c>
      <c r="C14" s="13" t="s">
        <v>25</v>
      </c>
      <c r="D14" s="13" t="s">
        <v>29</v>
      </c>
      <c r="E14" s="13" t="s">
        <v>30</v>
      </c>
      <c r="F14" s="13" t="s">
        <v>31</v>
      </c>
      <c r="G14" s="13" t="s">
        <v>32</v>
      </c>
      <c r="L14" s="32" t="s">
        <v>27</v>
      </c>
      <c r="M14" s="32" t="s">
        <v>26</v>
      </c>
    </row>
    <row r="15" spans="1:13">
      <c r="A15" s="15">
        <v>1</v>
      </c>
      <c r="B15" s="28">
        <v>0.04</v>
      </c>
      <c r="C15" s="29">
        <f>Sheet1!H16</f>
        <v>4.2722499999999997E-2</v>
      </c>
      <c r="D15" s="29">
        <f>1-B15</f>
        <v>0.96</v>
      </c>
      <c r="E15" s="29">
        <f>D15*MIN(E16:E17)</f>
        <v>0.87579359999999995</v>
      </c>
      <c r="F15" s="29">
        <f>C15/E15</f>
        <v>4.8781470885377556E-2</v>
      </c>
      <c r="G15" s="29">
        <f>F15*Sheet1!$G$5</f>
        <v>12.19536772134439</v>
      </c>
      <c r="L15" s="33">
        <v>1</v>
      </c>
      <c r="M15" s="36">
        <f>G19+G17</f>
        <v>16.56867426297703</v>
      </c>
    </row>
    <row r="16" spans="1:13">
      <c r="A16" s="15">
        <v>2</v>
      </c>
      <c r="B16" s="28">
        <v>0.02</v>
      </c>
      <c r="C16" s="29">
        <f>Sheet1!H17</f>
        <v>1.9818000000000002E-2</v>
      </c>
      <c r="D16" s="29">
        <f t="shared" ref="D16:D19" si="0">1-B16</f>
        <v>0.98</v>
      </c>
      <c r="E16" s="29">
        <f>D16*E18</f>
        <v>0.92169000000000001</v>
      </c>
      <c r="F16" s="29">
        <f t="shared" ref="F16:F19" si="1">C16/E16</f>
        <v>2.1501806464212483E-2</v>
      </c>
      <c r="G16" s="29">
        <f>F16*Sheet1!$G$5</f>
        <v>5.3754516160531205</v>
      </c>
      <c r="L16" s="33">
        <v>2</v>
      </c>
      <c r="M16" s="36">
        <f>G16</f>
        <v>5.3754516160531205</v>
      </c>
    </row>
    <row r="17" spans="1:13">
      <c r="A17" s="15">
        <v>3</v>
      </c>
      <c r="B17" s="28">
        <v>0.03</v>
      </c>
      <c r="C17" s="29">
        <f>Sheet1!H18</f>
        <v>1.2407999999999999E-2</v>
      </c>
      <c r="D17" s="29">
        <f t="shared" si="0"/>
        <v>0.97</v>
      </c>
      <c r="E17" s="29">
        <f>D17*E18</f>
        <v>0.91228500000000001</v>
      </c>
      <c r="F17" s="29">
        <f t="shared" si="1"/>
        <v>1.3601012841381804E-2</v>
      </c>
      <c r="G17" s="29">
        <f>F17*Sheet1!$G$5</f>
        <v>3.400253210345451</v>
      </c>
      <c r="L17" s="33">
        <v>3</v>
      </c>
      <c r="M17" s="36">
        <f>G15+G18</f>
        <v>19.801694143460285</v>
      </c>
    </row>
    <row r="18" spans="1:13">
      <c r="A18" s="15">
        <v>4</v>
      </c>
      <c r="B18" s="28">
        <v>0.01</v>
      </c>
      <c r="C18" s="29">
        <f>Sheet1!H19</f>
        <v>2.8614999999999998E-2</v>
      </c>
      <c r="D18" s="29">
        <f t="shared" si="0"/>
        <v>0.99</v>
      </c>
      <c r="E18" s="29">
        <f>D18*E19</f>
        <v>0.9405</v>
      </c>
      <c r="F18" s="29">
        <f t="shared" si="1"/>
        <v>3.0425305688463581E-2</v>
      </c>
      <c r="G18" s="29">
        <f>F18*Sheet1!$G$5</f>
        <v>7.6063264221158953</v>
      </c>
      <c r="K18" s="34" t="s">
        <v>33</v>
      </c>
      <c r="L18" s="34"/>
      <c r="M18" s="37">
        <f>G15+G16+G18+G19</f>
        <v>38.34556681214498</v>
      </c>
    </row>
    <row r="19" spans="1:13">
      <c r="A19" s="15">
        <v>5</v>
      </c>
      <c r="B19" s="28">
        <v>0.05</v>
      </c>
      <c r="C19" s="29">
        <f>Sheet1!H20</f>
        <v>5.0040000000000001E-2</v>
      </c>
      <c r="D19" s="29">
        <f t="shared" si="0"/>
        <v>0.95</v>
      </c>
      <c r="E19" s="29">
        <f>D19</f>
        <v>0.95</v>
      </c>
      <c r="F19" s="29">
        <f t="shared" si="1"/>
        <v>5.2673684210526317E-2</v>
      </c>
      <c r="G19" s="29">
        <f>F19*Sheet1!$G$5</f>
        <v>13.168421052631579</v>
      </c>
    </row>
    <row r="23" spans="1:13">
      <c r="B23" s="35" t="s">
        <v>34</v>
      </c>
      <c r="C23" s="35"/>
      <c r="D23" s="35"/>
      <c r="E23" s="38">
        <f>MIN(E15:E19)</f>
        <v>0.87579359999999995</v>
      </c>
    </row>
    <row r="24" spans="1:13">
      <c r="B24" s="35" t="s">
        <v>35</v>
      </c>
      <c r="C24" s="35"/>
      <c r="D24" s="35"/>
      <c r="E24" s="39">
        <f>Sheet1!G5/Sheet2!E23</f>
        <v>285.45538583520135</v>
      </c>
    </row>
  </sheetData>
  <mergeCells count="3">
    <mergeCell ref="K18:L18"/>
    <mergeCell ref="B23:D23"/>
    <mergeCell ref="B24:D2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2024-05-11T08:54:34Z</dcterms:created>
  <dcterms:modified xsi:type="dcterms:W3CDTF">2024-05-11T09:38:52Z</dcterms:modified>
  <cp:category/>
  <cp:contentStatus/>
</cp:coreProperties>
</file>