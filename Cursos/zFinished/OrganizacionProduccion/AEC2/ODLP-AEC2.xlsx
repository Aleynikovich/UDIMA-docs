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https://fundaciontekniker-my.sharepoint.com/personal/akalis_tekniker_es/Documents/UDIMA/OrganizacionProduccion/AEC2/"/>
    </mc:Choice>
  </mc:AlternateContent>
  <xr:revisionPtr revIDLastSave="1238" documentId="8_{02DA93AA-0A91-4903-A70C-6429FEEA0EE6}" xr6:coauthVersionLast="47" xr6:coauthVersionMax="47" xr10:uidLastSave="{10FDAE73-5102-4CCF-B967-BE9AE59A7083}"/>
  <bookViews>
    <workbookView xWindow="-120" yWindow="330" windowWidth="29040" windowHeight="15990" firstSheet="3" activeTab="3" xr2:uid="{538D0BBA-2A6F-4113-B360-A27E433D74AB}"/>
  </bookViews>
  <sheets>
    <sheet name="E1.MRP" sheetId="1" r:id="rId1"/>
    <sheet name="E2.CAP" sheetId="2" r:id="rId2"/>
    <sheet name="E3.Job-shop" sheetId="3" r:id="rId3"/>
    <sheet name="E4.PA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4" l="1"/>
  <c r="G26" i="4"/>
  <c r="B40" i="4"/>
  <c r="C38" i="4"/>
  <c r="D38" i="4"/>
  <c r="E38" i="4"/>
  <c r="B38" i="4"/>
  <c r="C37" i="4"/>
  <c r="D37" i="4"/>
  <c r="E37" i="4"/>
  <c r="B37" i="4"/>
  <c r="C36" i="4"/>
  <c r="D36" i="4"/>
  <c r="E36" i="4"/>
  <c r="F36" i="4"/>
  <c r="G36" i="4"/>
  <c r="B36" i="4"/>
  <c r="C34" i="4"/>
  <c r="D34" i="4"/>
  <c r="E34" i="4"/>
  <c r="F34" i="4"/>
  <c r="G34" i="4"/>
  <c r="B34" i="4"/>
  <c r="C33" i="4"/>
  <c r="D33" i="4"/>
  <c r="E33" i="4"/>
  <c r="F33" i="4"/>
  <c r="F37" i="4" s="1"/>
  <c r="F38" i="4" s="1"/>
  <c r="B33" i="4"/>
  <c r="C32" i="4"/>
  <c r="D32" i="4"/>
  <c r="E32" i="4"/>
  <c r="F32" i="4"/>
  <c r="G32" i="4"/>
  <c r="B32" i="4"/>
  <c r="D29" i="4"/>
  <c r="C29" i="4"/>
  <c r="C30" i="4"/>
  <c r="B30" i="4"/>
  <c r="C28" i="4"/>
  <c r="C31" i="4"/>
  <c r="D31" i="4"/>
  <c r="E31" i="4"/>
  <c r="F31" i="4"/>
  <c r="G31" i="4"/>
  <c r="B31" i="4"/>
  <c r="D28" i="4"/>
  <c r="E28" i="4"/>
  <c r="F28" i="4"/>
  <c r="G28" i="4"/>
  <c r="B28" i="4"/>
  <c r="B27" i="4"/>
  <c r="C25" i="4"/>
  <c r="D25" i="4"/>
  <c r="E25" i="4"/>
  <c r="F25" i="4"/>
  <c r="G25" i="4"/>
  <c r="B25" i="4"/>
  <c r="C24" i="4"/>
  <c r="D24" i="4"/>
  <c r="E24" i="4"/>
  <c r="F24" i="4"/>
  <c r="G24" i="4"/>
  <c r="B24" i="4"/>
  <c r="C23" i="4"/>
  <c r="D23" i="4"/>
  <c r="E23" i="4"/>
  <c r="F23" i="4"/>
  <c r="G23" i="4"/>
  <c r="B23" i="4"/>
  <c r="S52" i="3"/>
  <c r="S51" i="3"/>
  <c r="BA60" i="3"/>
  <c r="BA61" i="3"/>
  <c r="BA62" i="3"/>
  <c r="BA63" i="3"/>
  <c r="BA59" i="3"/>
  <c r="S60" i="3"/>
  <c r="S59" i="3"/>
  <c r="S36" i="3"/>
  <c r="S35" i="3"/>
  <c r="S20" i="3"/>
  <c r="S19" i="3"/>
  <c r="O4" i="3"/>
  <c r="O5" i="3"/>
  <c r="O6" i="3"/>
  <c r="O7" i="3"/>
  <c r="O3" i="3"/>
  <c r="S4" i="3"/>
  <c r="S3" i="3"/>
  <c r="C23" i="2"/>
  <c r="D22" i="2"/>
  <c r="E58" i="2"/>
  <c r="E59" i="2"/>
  <c r="E57" i="2"/>
  <c r="D58" i="2"/>
  <c r="D59" i="2"/>
  <c r="D57" i="2"/>
  <c r="C58" i="2"/>
  <c r="C59" i="2"/>
  <c r="D60" i="2"/>
  <c r="D61" i="2" s="1"/>
  <c r="D50" i="2"/>
  <c r="D52" i="2" s="1"/>
  <c r="D40" i="2"/>
  <c r="D41" i="2"/>
  <c r="C33" i="2"/>
  <c r="C41" i="2"/>
  <c r="E36" i="2"/>
  <c r="E34" i="2"/>
  <c r="D25" i="2"/>
  <c r="D34" i="2" s="1"/>
  <c r="D36" i="2" s="1"/>
  <c r="C24" i="2"/>
  <c r="C25" i="2" s="1"/>
  <c r="D19" i="2"/>
  <c r="E19" i="2"/>
  <c r="C19" i="2"/>
  <c r="D17" i="2"/>
  <c r="E17" i="2"/>
  <c r="C17" i="2"/>
  <c r="N5" i="2"/>
  <c r="N8" i="2"/>
  <c r="N7" i="2"/>
  <c r="N6" i="2"/>
  <c r="J8" i="2"/>
  <c r="J7" i="2"/>
  <c r="J6" i="2"/>
  <c r="J5" i="2"/>
  <c r="F6" i="2"/>
  <c r="F7" i="2"/>
  <c r="F8" i="2"/>
  <c r="F5" i="2"/>
  <c r="L6" i="2"/>
  <c r="L7" i="2"/>
  <c r="L8" i="2"/>
  <c r="L5" i="2"/>
  <c r="H6" i="2"/>
  <c r="H7" i="2"/>
  <c r="H8" i="2"/>
  <c r="H5" i="2"/>
  <c r="D6" i="2"/>
  <c r="D7" i="2"/>
  <c r="D8" i="2"/>
  <c r="D5" i="2"/>
  <c r="Q6" i="2"/>
  <c r="Q7" i="2"/>
  <c r="Q8" i="2"/>
  <c r="Q5" i="2"/>
  <c r="P6" i="2"/>
  <c r="P7" i="2"/>
  <c r="P8" i="2"/>
  <c r="P5" i="2"/>
  <c r="N39" i="1"/>
  <c r="M39" i="1"/>
  <c r="L39" i="1"/>
  <c r="L37" i="1"/>
  <c r="P31" i="1"/>
  <c r="Q31" i="1"/>
  <c r="O31" i="1"/>
  <c r="N31" i="1"/>
  <c r="M31" i="1"/>
  <c r="L31" i="1"/>
  <c r="K31" i="1"/>
  <c r="K37" i="1"/>
  <c r="M37" i="1"/>
  <c r="N37" i="1"/>
  <c r="O37" i="1"/>
  <c r="P37" i="1"/>
  <c r="Q37" i="1"/>
  <c r="J37" i="1"/>
  <c r="J39" i="1" s="1"/>
  <c r="K39" i="1" s="1"/>
  <c r="O39" i="1" s="1"/>
  <c r="P39" i="1" s="1"/>
  <c r="Q39" i="1" s="1"/>
  <c r="I39" i="1"/>
  <c r="H35" i="1"/>
  <c r="K29" i="1"/>
  <c r="L29" i="1"/>
  <c r="M29" i="1"/>
  <c r="N29" i="1"/>
  <c r="O29" i="1"/>
  <c r="P29" i="1"/>
  <c r="Q29" i="1"/>
  <c r="J29" i="1"/>
  <c r="J31" i="1"/>
  <c r="I31" i="1"/>
  <c r="H27" i="1"/>
  <c r="P23" i="1"/>
  <c r="Q23" i="1" s="1"/>
  <c r="O23" i="1"/>
  <c r="N23" i="1"/>
  <c r="M23" i="1"/>
  <c r="L25" i="1"/>
  <c r="K23" i="1"/>
  <c r="L23" i="1"/>
  <c r="J23" i="1"/>
  <c r="K21" i="1"/>
  <c r="L21" i="1"/>
  <c r="M21" i="1"/>
  <c r="N21" i="1"/>
  <c r="O21" i="1"/>
  <c r="P21" i="1"/>
  <c r="Q21" i="1"/>
  <c r="J21" i="1"/>
  <c r="I23" i="1"/>
  <c r="H19" i="1"/>
  <c r="P15" i="1"/>
  <c r="Q15" i="1"/>
  <c r="O15" i="1"/>
  <c r="N15" i="1"/>
  <c r="M15" i="1"/>
  <c r="L17" i="1"/>
  <c r="K13" i="1"/>
  <c r="L13" i="1"/>
  <c r="M13" i="1"/>
  <c r="N13" i="1"/>
  <c r="O13" i="1"/>
  <c r="P13" i="1"/>
  <c r="Q13" i="1"/>
  <c r="M9" i="1"/>
  <c r="J15" i="1"/>
  <c r="I15" i="1"/>
  <c r="K15" i="1"/>
  <c r="L15" i="1" s="1"/>
  <c r="J13" i="1"/>
  <c r="H11" i="1"/>
  <c r="H3" i="1"/>
  <c r="J14" i="1"/>
  <c r="L7" i="1"/>
  <c r="M7" i="1" s="1"/>
  <c r="N7" i="1" s="1"/>
  <c r="K7" i="1"/>
  <c r="J7" i="1"/>
  <c r="J6" i="1"/>
  <c r="I7" i="1"/>
  <c r="C30" i="2" l="1"/>
  <c r="P7" i="1"/>
  <c r="Q7" i="1" s="1"/>
  <c r="O7" i="1"/>
  <c r="C46" i="2" l="1"/>
  <c r="C34" i="2"/>
  <c r="C36" i="2" s="1"/>
  <c r="C39" i="2" s="1"/>
  <c r="D39" i="2" l="1"/>
  <c r="D42" i="2" s="1"/>
  <c r="E49" i="2" s="1"/>
  <c r="C42" i="2"/>
  <c r="C49" i="2" s="1"/>
  <c r="C60" i="2" s="1"/>
  <c r="C57" i="2"/>
  <c r="C61" i="2" s="1"/>
  <c r="C50" i="2"/>
  <c r="C52" i="2" s="1"/>
  <c r="E60" i="2" l="1"/>
  <c r="E61" i="2" s="1"/>
  <c r="C62" i="2" s="1"/>
  <c r="E50" i="2"/>
  <c r="E52" i="2" s="1"/>
  <c r="C26" i="4"/>
  <c r="C27" i="4" l="1"/>
  <c r="D26" i="4" s="1"/>
  <c r="D27" i="4" s="1"/>
  <c r="D30" i="4" s="1"/>
  <c r="E26" i="4" s="1"/>
  <c r="E27" i="4" s="1"/>
  <c r="E30" i="4" l="1"/>
  <c r="F26" i="4" s="1"/>
  <c r="F27" i="4" s="1"/>
  <c r="G27" i="4" l="1"/>
  <c r="G30" i="4" l="1"/>
  <c r="G33" i="4" s="1"/>
  <c r="G37" i="4" s="1"/>
  <c r="B41" i="4" l="1"/>
  <c r="B42" i="4" s="1"/>
  <c r="G38" i="4"/>
</calcChain>
</file>

<file path=xl/sharedStrings.xml><?xml version="1.0" encoding="utf-8"?>
<sst xmlns="http://schemas.openxmlformats.org/spreadsheetml/2006/main" count="567" uniqueCount="137">
  <si>
    <t>Archivo maestro de materiales</t>
  </si>
  <si>
    <t>Elemento</t>
  </si>
  <si>
    <t>Disponibilidad</t>
  </si>
  <si>
    <t>Tiempo de espera
(semanas)</t>
  </si>
  <si>
    <t>Tamaño del lote</t>
  </si>
  <si>
    <t>Recepciones
programadas</t>
  </si>
  <si>
    <t>MRP</t>
  </si>
  <si>
    <t>A</t>
  </si>
  <si>
    <t>lote a lote</t>
  </si>
  <si>
    <t>40, semana 1</t>
  </si>
  <si>
    <t>B</t>
  </si>
  <si>
    <t>Semana</t>
  </si>
  <si>
    <t>C</t>
  </si>
  <si>
    <t>Requerimiento bruto</t>
  </si>
  <si>
    <t>D</t>
  </si>
  <si>
    <t>95, semana 2</t>
  </si>
  <si>
    <t>Recepciones Programadas</t>
  </si>
  <si>
    <t>E</t>
  </si>
  <si>
    <t>Proyeccion de Disponibilidad</t>
  </si>
  <si>
    <t>Requerimientos netos</t>
  </si>
  <si>
    <t>Liberación planificada del pedido</t>
  </si>
  <si>
    <t>Lista de materiales</t>
  </si>
  <si>
    <t>CAP. Método de los índices</t>
  </si>
  <si>
    <t>CT1</t>
  </si>
  <si>
    <t>CT2</t>
  </si>
  <si>
    <t>CT3</t>
  </si>
  <si>
    <t>Pi</t>
  </si>
  <si>
    <t>Ct</t>
  </si>
  <si>
    <t>Ici1</t>
  </si>
  <si>
    <t>Tt</t>
  </si>
  <si>
    <t>Iti1</t>
  </si>
  <si>
    <t>Ici2</t>
  </si>
  <si>
    <t>Iti2</t>
  </si>
  <si>
    <t>Ici3</t>
  </si>
  <si>
    <t>Iti3</t>
  </si>
  <si>
    <t>min coste</t>
  </si>
  <si>
    <t>min tiempo</t>
  </si>
  <si>
    <t>P1</t>
  </si>
  <si>
    <t>P2</t>
  </si>
  <si>
    <t>P3</t>
  </si>
  <si>
    <t>P4</t>
  </si>
  <si>
    <t>Capacidad  (horas)</t>
  </si>
  <si>
    <t>Tabla de carga mínimos costes</t>
  </si>
  <si>
    <t>Carga</t>
  </si>
  <si>
    <t>Capacidad</t>
  </si>
  <si>
    <t>Sobrecarga?</t>
  </si>
  <si>
    <t>P1(CT1) a CT2</t>
  </si>
  <si>
    <t>Sobrecarga CT1</t>
  </si>
  <si>
    <t>Total P1(CT1)</t>
  </si>
  <si>
    <t>Capacidad ociosa CT2</t>
  </si>
  <si>
    <t>mínimo</t>
  </si>
  <si>
    <t>P4(CT1) a CT3</t>
  </si>
  <si>
    <t>Total P4(CT1)</t>
  </si>
  <si>
    <t>Capacidad ociosa CT3</t>
  </si>
  <si>
    <t>Tabla de costes</t>
  </si>
  <si>
    <t>Costes Cti</t>
  </si>
  <si>
    <t>Costes totales</t>
  </si>
  <si>
    <t>t</t>
  </si>
  <si>
    <t>Pedido</t>
  </si>
  <si>
    <t>Secuencia</t>
  </si>
  <si>
    <t>Plazo</t>
  </si>
  <si>
    <t>Máquina</t>
  </si>
  <si>
    <t>Candidatos</t>
  </si>
  <si>
    <t>Holgura total</t>
  </si>
  <si>
    <t>Elegido</t>
  </si>
  <si>
    <t>ADCB</t>
  </si>
  <si>
    <t>A(5)</t>
  </si>
  <si>
    <t>D(5)</t>
  </si>
  <si>
    <t>C(4)</t>
  </si>
  <si>
    <t>B(2)</t>
  </si>
  <si>
    <t>DBAC</t>
  </si>
  <si>
    <t>D(3)</t>
  </si>
  <si>
    <t>B(5)</t>
  </si>
  <si>
    <t>A(4)</t>
  </si>
  <si>
    <t>C(1)</t>
  </si>
  <si>
    <t>P5</t>
  </si>
  <si>
    <t>CAB</t>
  </si>
  <si>
    <t>C(6)</t>
  </si>
  <si>
    <t>A (3)</t>
  </si>
  <si>
    <t>B(1)</t>
  </si>
  <si>
    <t>ABCD</t>
  </si>
  <si>
    <t>A(3)</t>
  </si>
  <si>
    <t>B(4)</t>
  </si>
  <si>
    <t>C(2)</t>
  </si>
  <si>
    <t>BAD</t>
  </si>
  <si>
    <t>A (2)</t>
  </si>
  <si>
    <t>-</t>
  </si>
  <si>
    <t>Vacía</t>
  </si>
  <si>
    <t>Fin</t>
  </si>
  <si>
    <t>Retraso</t>
  </si>
  <si>
    <t>Datos de partida</t>
  </si>
  <si>
    <t>Coste materia prima</t>
  </si>
  <si>
    <t>€/unidad</t>
  </si>
  <si>
    <t>Coste de mantenimiento de inventarios</t>
  </si>
  <si>
    <t>€/unidad y mes</t>
  </si>
  <si>
    <t>Coste Rotura de stock</t>
  </si>
  <si>
    <t>Contratación y entrenamiento</t>
  </si>
  <si>
    <t>€/trabajador</t>
  </si>
  <si>
    <t>Costes de despido</t>
  </si>
  <si>
    <t>Coste subcontratación</t>
  </si>
  <si>
    <t>Horas de trabajo requeridas</t>
  </si>
  <si>
    <t>horas/unidad</t>
  </si>
  <si>
    <t>Costes hora de trabajo</t>
  </si>
  <si>
    <t>€/hora</t>
  </si>
  <si>
    <t>Inventario inicial</t>
  </si>
  <si>
    <t>unidades</t>
  </si>
  <si>
    <t>Coste hora extra</t>
  </si>
  <si>
    <t>PVP producto</t>
  </si>
  <si>
    <t>Horas trabajo productivas/día</t>
  </si>
  <si>
    <t>horas</t>
  </si>
  <si>
    <t>Mano de obra</t>
  </si>
  <si>
    <t>personas</t>
  </si>
  <si>
    <t>Enero</t>
  </si>
  <si>
    <t>Febrero</t>
  </si>
  <si>
    <t>Marzo</t>
  </si>
  <si>
    <t>Abril</t>
  </si>
  <si>
    <t>Mayo</t>
  </si>
  <si>
    <t>Junio</t>
  </si>
  <si>
    <t>Días por mes</t>
  </si>
  <si>
    <t>Demanda</t>
  </si>
  <si>
    <t>Horas por trabajador y mes</t>
  </si>
  <si>
    <t>Unidades por trabajador</t>
  </si>
  <si>
    <t>Coste por trabajador</t>
  </si>
  <si>
    <t>Requerimiento netos producción</t>
  </si>
  <si>
    <t>Producción real</t>
  </si>
  <si>
    <t>Subcontratación</t>
  </si>
  <si>
    <t>Inventario final</t>
  </si>
  <si>
    <t>Costes trabajadores</t>
  </si>
  <si>
    <t>Costes materiales</t>
  </si>
  <si>
    <t>Costes mantenimiento inventario</t>
  </si>
  <si>
    <t>Costes subcontratación</t>
  </si>
  <si>
    <t>Costes rotura stock</t>
  </si>
  <si>
    <t>Ingresos/mes</t>
  </si>
  <si>
    <t>Costes totales/mes</t>
  </si>
  <si>
    <t>Beneficio/mes</t>
  </si>
  <si>
    <t>Ingresos totales</t>
  </si>
  <si>
    <t>Beneficios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</si>
</sst>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2" xfId="0" applyBorder="1" applyAlignment="1">
      <alignment horizontal="left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6" borderId="24" xfId="0" applyFill="1" applyBorder="1" applyAlignment="1">
      <alignment horizontal="center"/>
    </xf>
    <xf numFmtId="2" fontId="0" fillId="6" borderId="25" xfId="0" applyNumberFormat="1" applyFill="1" applyBorder="1" applyAlignment="1">
      <alignment horizontal="center"/>
    </xf>
    <xf numFmtId="2" fontId="0" fillId="6" borderId="26" xfId="0" applyNumberFormat="1" applyFill="1" applyBorder="1" applyAlignment="1">
      <alignment horizontal="center"/>
    </xf>
    <xf numFmtId="2" fontId="0" fillId="7" borderId="18" xfId="0" applyNumberFormat="1" applyFill="1" applyBorder="1" applyAlignment="1">
      <alignment horizontal="center"/>
    </xf>
    <xf numFmtId="2" fontId="0" fillId="7" borderId="23" xfId="0" applyNumberForma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2" fontId="0" fillId="5" borderId="18" xfId="0" applyNumberForma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9" borderId="0" xfId="0" applyFill="1"/>
    <xf numFmtId="0" fontId="0" fillId="3" borderId="18" xfId="0" applyFill="1" applyBorder="1" applyAlignment="1">
      <alignment horizontal="center" vertical="center"/>
    </xf>
    <xf numFmtId="0" fontId="0" fillId="3" borderId="36" xfId="0" applyFill="1" applyBorder="1"/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3" borderId="48" xfId="0" applyFill="1" applyBorder="1"/>
    <xf numFmtId="0" fontId="0" fillId="14" borderId="18" xfId="0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0" fillId="13" borderId="0" xfId="0" applyFill="1"/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9" borderId="49" xfId="0" applyFill="1" applyBorder="1"/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0" fillId="5" borderId="25" xfId="0" applyNumberForma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42" xfId="0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19" xfId="0" applyBorder="1"/>
    <xf numFmtId="0" fontId="0" fillId="0" borderId="21" xfId="0" applyBorder="1"/>
    <xf numFmtId="0" fontId="0" fillId="5" borderId="23" xfId="0" applyFill="1" applyBorder="1" applyAlignment="1">
      <alignment horizontal="center"/>
    </xf>
    <xf numFmtId="0" fontId="0" fillId="5" borderId="22" xfId="0" applyFill="1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10</xdr:row>
      <xdr:rowOff>104775</xdr:rowOff>
    </xdr:from>
    <xdr:to>
      <xdr:col>5</xdr:col>
      <xdr:colOff>562575</xdr:colOff>
      <xdr:row>25</xdr:row>
      <xdr:rowOff>76600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F168F-5012-40E3-B554-CEB5B4ECC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2238375"/>
          <a:ext cx="4296375" cy="2867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5</xdr:row>
      <xdr:rowOff>0</xdr:rowOff>
    </xdr:from>
    <xdr:to>
      <xdr:col>16</xdr:col>
      <xdr:colOff>285750</xdr:colOff>
      <xdr:row>12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2052E-0642-F466-EBA5-EA3DE9CA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1050" y="952500"/>
          <a:ext cx="7200900" cy="138112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10</xdr:row>
      <xdr:rowOff>180975</xdr:rowOff>
    </xdr:from>
    <xdr:to>
      <xdr:col>9</xdr:col>
      <xdr:colOff>400050</xdr:colOff>
      <xdr:row>12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E9CFA1-D8AF-2CCE-9E63-091305EC9748}"/>
            </a:ext>
            <a:ext uri="{147F2762-F138-4A5C-976F-8EAC2B608ADB}">
              <a16:predDERef xmlns:a16="http://schemas.microsoft.com/office/drawing/2014/main" pred="{4AA2052E-0642-F466-EBA5-EA3DE9CA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0" y="2085975"/>
          <a:ext cx="3190875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695-0300-4506-AFF2-60FEF82621E6}">
  <dimension ref="B1:Q41"/>
  <sheetViews>
    <sheetView workbookViewId="0">
      <selection activeCell="M43" sqref="M43"/>
    </sheetView>
  </sheetViews>
  <sheetFormatPr defaultRowHeight="15"/>
  <cols>
    <col min="3" max="3" width="14.28515625" bestFit="1" customWidth="1"/>
    <col min="4" max="4" width="16.7109375" bestFit="1" customWidth="1"/>
    <col min="5" max="5" width="15.28515625" bestFit="1" customWidth="1"/>
    <col min="6" max="6" width="15.5703125" customWidth="1"/>
    <col min="7" max="7" width="1.7109375" customWidth="1"/>
    <col min="8" max="8" width="31.85546875" customWidth="1"/>
    <col min="9" max="9" width="5.5703125" customWidth="1"/>
    <col min="10" max="17" width="5.7109375" customWidth="1"/>
  </cols>
  <sheetData>
    <row r="1" spans="2:17" ht="15.75" thickBot="1">
      <c r="B1" s="106" t="s">
        <v>0</v>
      </c>
      <c r="C1" s="107"/>
      <c r="D1" s="107"/>
      <c r="E1" s="107"/>
      <c r="F1" s="108"/>
    </row>
    <row r="2" spans="2:17" ht="30">
      <c r="B2" s="11" t="s">
        <v>1</v>
      </c>
      <c r="C2" s="12" t="s">
        <v>2</v>
      </c>
      <c r="D2" s="13" t="s">
        <v>3</v>
      </c>
      <c r="E2" s="12" t="s">
        <v>4</v>
      </c>
      <c r="F2" s="14" t="s">
        <v>5</v>
      </c>
      <c r="H2" s="16" t="s">
        <v>6</v>
      </c>
    </row>
    <row r="3" spans="2:17" ht="15.75" thickBot="1">
      <c r="B3" s="4" t="s">
        <v>7</v>
      </c>
      <c r="C3" s="1">
        <v>115</v>
      </c>
      <c r="D3" s="1">
        <v>2</v>
      </c>
      <c r="E3" s="1" t="s">
        <v>8</v>
      </c>
      <c r="F3" s="5" t="s">
        <v>9</v>
      </c>
      <c r="H3" s="102" t="str">
        <f>_xlfn.CONCAT("Elemento ",B3, "-Disp ",C3, "-Tiempo de espera ", D3, " semanas ", E3, "-RP= ",F3)</f>
        <v>Elemento A-Disp 115-Tiempo de espera 2 semanas lote a lote-RP= 40, semana 1</v>
      </c>
      <c r="I3" s="102"/>
      <c r="J3" s="103"/>
      <c r="K3" s="103"/>
      <c r="L3" s="103"/>
      <c r="M3" s="103"/>
      <c r="N3" s="103"/>
      <c r="O3" s="103"/>
      <c r="P3" s="103"/>
      <c r="Q3" s="103"/>
    </row>
    <row r="4" spans="2:17">
      <c r="B4" s="4" t="s">
        <v>10</v>
      </c>
      <c r="C4" s="1">
        <v>125</v>
      </c>
      <c r="D4" s="1">
        <v>1</v>
      </c>
      <c r="E4" s="1">
        <v>300</v>
      </c>
      <c r="F4" s="5"/>
      <c r="H4" s="104" t="s">
        <v>11</v>
      </c>
      <c r="I4" s="105"/>
      <c r="J4" s="2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  <c r="Q4" s="10">
        <v>8</v>
      </c>
    </row>
    <row r="5" spans="2:17">
      <c r="B5" s="4" t="s">
        <v>12</v>
      </c>
      <c r="C5" s="1">
        <v>45</v>
      </c>
      <c r="D5" s="1">
        <v>1</v>
      </c>
      <c r="E5" s="1">
        <v>90</v>
      </c>
      <c r="F5" s="5"/>
      <c r="H5" s="100" t="s">
        <v>13</v>
      </c>
      <c r="I5" s="101"/>
      <c r="J5" s="4"/>
      <c r="K5" s="1">
        <v>15</v>
      </c>
      <c r="L5" s="1">
        <v>25</v>
      </c>
      <c r="M5" s="1">
        <v>35</v>
      </c>
      <c r="N5" s="1">
        <v>80</v>
      </c>
      <c r="O5" s="1">
        <v>70</v>
      </c>
      <c r="P5" s="1">
        <v>50</v>
      </c>
      <c r="Q5" s="5">
        <v>95</v>
      </c>
    </row>
    <row r="6" spans="2:17">
      <c r="B6" s="4" t="s">
        <v>14</v>
      </c>
      <c r="C6" s="1">
        <v>130</v>
      </c>
      <c r="D6" s="1">
        <v>1</v>
      </c>
      <c r="E6" s="1">
        <v>400</v>
      </c>
      <c r="F6" s="5" t="s">
        <v>15</v>
      </c>
      <c r="H6" s="100" t="s">
        <v>16</v>
      </c>
      <c r="I6" s="101"/>
      <c r="J6" s="4" t="str">
        <f>LEFT(F3,2)</f>
        <v>40</v>
      </c>
      <c r="K6" s="1"/>
      <c r="L6" s="1"/>
      <c r="M6" s="1"/>
      <c r="N6" s="1"/>
      <c r="O6" s="1"/>
      <c r="P6" s="1"/>
      <c r="Q6" s="5"/>
    </row>
    <row r="7" spans="2:17" ht="15.75" thickBot="1">
      <c r="B7" s="6" t="s">
        <v>17</v>
      </c>
      <c r="C7" s="7">
        <v>45</v>
      </c>
      <c r="D7" s="7">
        <v>2</v>
      </c>
      <c r="E7" s="7">
        <v>200</v>
      </c>
      <c r="F7" s="8"/>
      <c r="H7" s="15" t="s">
        <v>18</v>
      </c>
      <c r="I7" s="17">
        <f>C3</f>
        <v>115</v>
      </c>
      <c r="J7" s="4">
        <f>I7+J6</f>
        <v>155</v>
      </c>
      <c r="K7" s="1">
        <f>J7-K5</f>
        <v>140</v>
      </c>
      <c r="L7" s="1">
        <f t="shared" ref="L7:O7" si="0">K7-L5</f>
        <v>115</v>
      </c>
      <c r="M7" s="1">
        <f t="shared" si="0"/>
        <v>80</v>
      </c>
      <c r="N7" s="1">
        <f t="shared" si="0"/>
        <v>0</v>
      </c>
      <c r="O7" s="1">
        <f>N7-O5+M9</f>
        <v>0</v>
      </c>
      <c r="P7" s="1">
        <f>O7-P5+N9</f>
        <v>0</v>
      </c>
      <c r="Q7" s="5">
        <f>P7-Q5+O9</f>
        <v>0</v>
      </c>
    </row>
    <row r="8" spans="2:17">
      <c r="H8" s="100" t="s">
        <v>19</v>
      </c>
      <c r="I8" s="101"/>
      <c r="J8" s="4"/>
      <c r="K8" s="1"/>
      <c r="L8" s="1"/>
      <c r="M8" s="1"/>
      <c r="O8" s="1">
        <v>70</v>
      </c>
      <c r="P8" s="1">
        <v>50</v>
      </c>
      <c r="Q8" s="5">
        <v>95</v>
      </c>
    </row>
    <row r="9" spans="2:17" ht="15.75" thickBot="1">
      <c r="H9" s="100" t="s">
        <v>20</v>
      </c>
      <c r="I9" s="101"/>
      <c r="J9" s="6"/>
      <c r="K9" s="7"/>
      <c r="L9" s="7"/>
      <c r="M9" s="7">
        <f>O8</f>
        <v>70</v>
      </c>
      <c r="N9" s="7">
        <v>50</v>
      </c>
      <c r="O9" s="7">
        <v>95</v>
      </c>
      <c r="P9" s="9"/>
      <c r="Q9" s="8"/>
    </row>
    <row r="10" spans="2:17" ht="15.75" thickBot="1">
      <c r="C10" s="106" t="s">
        <v>21</v>
      </c>
      <c r="D10" s="107"/>
      <c r="E10" s="108"/>
    </row>
    <row r="11" spans="2:17" ht="15.75" thickBot="1">
      <c r="H11" s="102" t="str">
        <f>_xlfn.CONCAT("Elemento ",B4, "-Disp ",C4, "-Tiempo de espera ", D4, " semanas ", "-Lote = ", E4, " RP= ",F4)</f>
        <v xml:space="preserve">Elemento B-Disp 125-Tiempo de espera 1 semanas -Lote = 300 RP= </v>
      </c>
      <c r="I11" s="102"/>
      <c r="J11" s="103"/>
      <c r="K11" s="103"/>
      <c r="L11" s="103"/>
      <c r="M11" s="103"/>
      <c r="N11" s="103"/>
      <c r="O11" s="103"/>
      <c r="P11" s="103"/>
      <c r="Q11" s="103"/>
    </row>
    <row r="12" spans="2:17">
      <c r="H12" s="104" t="s">
        <v>11</v>
      </c>
      <c r="I12" s="105"/>
      <c r="J12" s="2">
        <v>1</v>
      </c>
      <c r="K12" s="3">
        <v>2</v>
      </c>
      <c r="L12" s="3">
        <v>3</v>
      </c>
      <c r="M12" s="3">
        <v>4</v>
      </c>
      <c r="N12" s="3">
        <v>5</v>
      </c>
      <c r="O12" s="3">
        <v>6</v>
      </c>
      <c r="P12" s="3">
        <v>7</v>
      </c>
      <c r="Q12" s="10">
        <v>8</v>
      </c>
    </row>
    <row r="13" spans="2:17">
      <c r="H13" s="100" t="s">
        <v>13</v>
      </c>
      <c r="I13" s="101"/>
      <c r="J13" s="4">
        <f>3*J9</f>
        <v>0</v>
      </c>
      <c r="K13" s="1">
        <f t="shared" ref="K13:Q13" si="1">3*K9</f>
        <v>0</v>
      </c>
      <c r="L13" s="1">
        <f t="shared" si="1"/>
        <v>0</v>
      </c>
      <c r="M13" s="1">
        <f t="shared" si="1"/>
        <v>210</v>
      </c>
      <c r="N13" s="1">
        <f t="shared" si="1"/>
        <v>150</v>
      </c>
      <c r="O13" s="1">
        <f t="shared" si="1"/>
        <v>285</v>
      </c>
      <c r="P13" s="1">
        <f t="shared" si="1"/>
        <v>0</v>
      </c>
      <c r="Q13" s="5">
        <f t="shared" si="1"/>
        <v>0</v>
      </c>
    </row>
    <row r="14" spans="2:17">
      <c r="H14" s="100" t="s">
        <v>16</v>
      </c>
      <c r="I14" s="101"/>
      <c r="J14" s="4" t="str">
        <f>LEFT(F11,2)</f>
        <v/>
      </c>
      <c r="K14" s="1"/>
      <c r="L14" s="1"/>
      <c r="M14" s="1"/>
      <c r="N14" s="1"/>
      <c r="O14" s="1"/>
      <c r="P14" s="1"/>
      <c r="Q14" s="5"/>
    </row>
    <row r="15" spans="2:17">
      <c r="H15" s="15" t="s">
        <v>18</v>
      </c>
      <c r="I15" s="17">
        <f>C4</f>
        <v>125</v>
      </c>
      <c r="J15" s="4">
        <f>I15-J13</f>
        <v>125</v>
      </c>
      <c r="K15" s="1">
        <f t="shared" ref="K15:N15" si="2">J15-K13</f>
        <v>125</v>
      </c>
      <c r="L15" s="1">
        <f t="shared" si="2"/>
        <v>125</v>
      </c>
      <c r="M15" s="1">
        <f>L15-M13+L17</f>
        <v>215</v>
      </c>
      <c r="N15" s="1">
        <f>M15-N13+M17</f>
        <v>65</v>
      </c>
      <c r="O15" s="1">
        <f>N15-O13+N17</f>
        <v>80</v>
      </c>
      <c r="P15" s="1">
        <f t="shared" ref="P15:Q15" si="3">O15-P13+O17</f>
        <v>80</v>
      </c>
      <c r="Q15" s="5">
        <f t="shared" si="3"/>
        <v>80</v>
      </c>
    </row>
    <row r="16" spans="2:17">
      <c r="H16" s="100" t="s">
        <v>19</v>
      </c>
      <c r="I16" s="101"/>
      <c r="J16" s="4"/>
      <c r="K16" s="1"/>
      <c r="L16" s="1"/>
      <c r="M16" s="1">
        <v>85</v>
      </c>
      <c r="N16" s="1"/>
      <c r="O16" s="1">
        <v>220</v>
      </c>
      <c r="P16" s="1"/>
      <c r="Q16" s="5"/>
    </row>
    <row r="17" spans="8:17" ht="15.75" thickBot="1">
      <c r="H17" s="100" t="s">
        <v>20</v>
      </c>
      <c r="I17" s="101"/>
      <c r="J17" s="6"/>
      <c r="K17" s="7"/>
      <c r="L17" s="7">
        <f>$E$4</f>
        <v>300</v>
      </c>
      <c r="M17" s="7"/>
      <c r="N17" s="7">
        <v>300</v>
      </c>
      <c r="O17" s="7"/>
      <c r="P17" s="7"/>
      <c r="Q17" s="8"/>
    </row>
    <row r="19" spans="8:17" ht="15.75" thickBot="1">
      <c r="H19" s="102" t="str">
        <f>_xlfn.CONCAT("Elemento ",B5, "-Disp ",C5, "-Tiempo de espera ", D5, " semanas ", "-Lote = ", E5, " RP= ",F5)</f>
        <v xml:space="preserve">Elemento C-Disp 45-Tiempo de espera 1 semanas -Lote = 90 RP= </v>
      </c>
      <c r="I19" s="102"/>
      <c r="J19" s="103"/>
      <c r="K19" s="103"/>
      <c r="L19" s="103"/>
      <c r="M19" s="103"/>
      <c r="N19" s="103"/>
      <c r="O19" s="103"/>
      <c r="P19" s="103"/>
      <c r="Q19" s="103"/>
    </row>
    <row r="20" spans="8:17">
      <c r="H20" s="104" t="s">
        <v>11</v>
      </c>
      <c r="I20" s="105"/>
      <c r="J20" s="2">
        <v>1</v>
      </c>
      <c r="K20" s="3">
        <v>2</v>
      </c>
      <c r="L20" s="3">
        <v>3</v>
      </c>
      <c r="M20" s="3">
        <v>4</v>
      </c>
      <c r="N20" s="3">
        <v>5</v>
      </c>
      <c r="O20" s="3">
        <v>6</v>
      </c>
      <c r="P20" s="3">
        <v>7</v>
      </c>
      <c r="Q20" s="10">
        <v>8</v>
      </c>
    </row>
    <row r="21" spans="8:17">
      <c r="H21" s="100" t="s">
        <v>13</v>
      </c>
      <c r="I21" s="101"/>
      <c r="J21" s="4">
        <f>J9</f>
        <v>0</v>
      </c>
      <c r="K21" s="1">
        <f t="shared" ref="K21:Q21" si="4">K9</f>
        <v>0</v>
      </c>
      <c r="L21" s="1">
        <f t="shared" si="4"/>
        <v>0</v>
      </c>
      <c r="M21" s="1">
        <f t="shared" si="4"/>
        <v>70</v>
      </c>
      <c r="N21" s="1">
        <f t="shared" si="4"/>
        <v>50</v>
      </c>
      <c r="O21" s="1">
        <f t="shared" si="4"/>
        <v>95</v>
      </c>
      <c r="P21" s="1">
        <f t="shared" si="4"/>
        <v>0</v>
      </c>
      <c r="Q21" s="5">
        <f t="shared" si="4"/>
        <v>0</v>
      </c>
    </row>
    <row r="22" spans="8:17">
      <c r="H22" s="100" t="s">
        <v>16</v>
      </c>
      <c r="I22" s="101"/>
      <c r="J22" s="4"/>
      <c r="K22" s="1"/>
      <c r="L22" s="1"/>
      <c r="M22" s="1"/>
      <c r="N22" s="1"/>
      <c r="O22" s="1"/>
      <c r="P22" s="1"/>
      <c r="Q22" s="5"/>
    </row>
    <row r="23" spans="8:17">
      <c r="H23" s="15" t="s">
        <v>18</v>
      </c>
      <c r="I23" s="17">
        <f>C5</f>
        <v>45</v>
      </c>
      <c r="J23" s="4">
        <f>I23-J21</f>
        <v>45</v>
      </c>
      <c r="K23" s="1">
        <f t="shared" ref="K23:M23" si="5">J23-K21</f>
        <v>45</v>
      </c>
      <c r="L23" s="1">
        <f t="shared" si="5"/>
        <v>45</v>
      </c>
      <c r="M23" s="1">
        <f>L23-M21+L25</f>
        <v>65</v>
      </c>
      <c r="N23" s="1">
        <f>M23-N21+M25</f>
        <v>15</v>
      </c>
      <c r="O23" s="1">
        <f>N23-O21+N25</f>
        <v>10</v>
      </c>
      <c r="P23" s="1">
        <f t="shared" ref="P23:Q23" si="6">O23-P21+O25</f>
        <v>10</v>
      </c>
      <c r="Q23" s="5">
        <f t="shared" si="6"/>
        <v>10</v>
      </c>
    </row>
    <row r="24" spans="8:17">
      <c r="H24" s="100" t="s">
        <v>19</v>
      </c>
      <c r="I24" s="101"/>
      <c r="J24" s="4"/>
      <c r="K24" s="1"/>
      <c r="L24" s="1"/>
      <c r="M24" s="1">
        <v>25</v>
      </c>
      <c r="N24" s="1"/>
      <c r="O24" s="1">
        <v>80</v>
      </c>
      <c r="P24" s="1"/>
      <c r="Q24" s="5"/>
    </row>
    <row r="25" spans="8:17" ht="15.75" thickBot="1">
      <c r="H25" s="100" t="s">
        <v>20</v>
      </c>
      <c r="I25" s="101"/>
      <c r="J25" s="6"/>
      <c r="K25" s="7"/>
      <c r="L25" s="7">
        <f>$E$5</f>
        <v>90</v>
      </c>
      <c r="M25" s="7"/>
      <c r="N25" s="7">
        <v>90</v>
      </c>
      <c r="O25" s="7"/>
      <c r="P25" s="7"/>
      <c r="Q25" s="8"/>
    </row>
    <row r="27" spans="8:17" ht="15.75" thickBot="1">
      <c r="H27" s="102" t="str">
        <f>_xlfn.CONCAT("Elemento ",B6, "-Disp ",C6, "-Tiempo de espera ", D6, " semanas ", "-Lote = ", E6, " RP= ",F6)</f>
        <v>Elemento D-Disp 130-Tiempo de espera 1 semanas -Lote = 400 RP= 95, semana 2</v>
      </c>
      <c r="I27" s="102"/>
      <c r="J27" s="103"/>
      <c r="K27" s="103"/>
      <c r="L27" s="103"/>
      <c r="M27" s="103"/>
      <c r="N27" s="103"/>
      <c r="O27" s="103"/>
      <c r="P27" s="103"/>
      <c r="Q27" s="103"/>
    </row>
    <row r="28" spans="8:17">
      <c r="H28" s="104" t="s">
        <v>11</v>
      </c>
      <c r="I28" s="105"/>
      <c r="J28" s="2">
        <v>1</v>
      </c>
      <c r="K28" s="3">
        <v>2</v>
      </c>
      <c r="L28" s="3">
        <v>3</v>
      </c>
      <c r="M28" s="3">
        <v>4</v>
      </c>
      <c r="N28" s="3">
        <v>5</v>
      </c>
      <c r="O28" s="3">
        <v>6</v>
      </c>
      <c r="P28" s="3">
        <v>7</v>
      </c>
      <c r="Q28" s="10">
        <v>8</v>
      </c>
    </row>
    <row r="29" spans="8:17">
      <c r="H29" s="100" t="s">
        <v>13</v>
      </c>
      <c r="I29" s="101"/>
      <c r="J29" s="4">
        <f>J17*1+2*J9</f>
        <v>0</v>
      </c>
      <c r="K29" s="1">
        <f t="shared" ref="K29:Q29" si="7">K17*1+2*K9</f>
        <v>0</v>
      </c>
      <c r="L29" s="1">
        <f t="shared" si="7"/>
        <v>300</v>
      </c>
      <c r="M29" s="1">
        <f t="shared" si="7"/>
        <v>140</v>
      </c>
      <c r="N29" s="1">
        <f t="shared" si="7"/>
        <v>400</v>
      </c>
      <c r="O29" s="1">
        <f t="shared" si="7"/>
        <v>190</v>
      </c>
      <c r="P29" s="1">
        <f t="shared" si="7"/>
        <v>0</v>
      </c>
      <c r="Q29" s="5">
        <f t="shared" si="7"/>
        <v>0</v>
      </c>
    </row>
    <row r="30" spans="8:17">
      <c r="H30" s="100" t="s">
        <v>16</v>
      </c>
      <c r="I30" s="101"/>
      <c r="J30" s="4"/>
      <c r="K30" s="1">
        <v>95</v>
      </c>
      <c r="L30" s="1"/>
      <c r="M30" s="1"/>
      <c r="N30" s="1"/>
      <c r="O30" s="1"/>
      <c r="P30" s="1"/>
      <c r="Q30" s="5"/>
    </row>
    <row r="31" spans="8:17">
      <c r="H31" s="15" t="s">
        <v>18</v>
      </c>
      <c r="I31" s="17">
        <f>C6</f>
        <v>130</v>
      </c>
      <c r="J31" s="4">
        <f>I31-J29</f>
        <v>130</v>
      </c>
      <c r="K31" s="1">
        <f>J31-K29+K30</f>
        <v>225</v>
      </c>
      <c r="L31" s="1">
        <f>K31-L29+L30+K33</f>
        <v>325</v>
      </c>
      <c r="M31" s="1">
        <f>L31-M29+M30+L33</f>
        <v>185</v>
      </c>
      <c r="N31" s="1">
        <f>M31-N29+N30+M33</f>
        <v>185</v>
      </c>
      <c r="O31" s="1">
        <f>N31-O29+O30+N33</f>
        <v>395</v>
      </c>
      <c r="P31" s="1">
        <f t="shared" ref="P31:Q31" si="8">O31-P29+P30+O33</f>
        <v>395</v>
      </c>
      <c r="Q31" s="1">
        <f t="shared" si="8"/>
        <v>395</v>
      </c>
    </row>
    <row r="32" spans="8:17">
      <c r="H32" s="100" t="s">
        <v>19</v>
      </c>
      <c r="I32" s="101"/>
      <c r="J32" s="4"/>
      <c r="K32" s="1"/>
      <c r="L32" s="1">
        <v>75</v>
      </c>
      <c r="M32" s="1"/>
      <c r="N32" s="1">
        <v>215</v>
      </c>
      <c r="O32" s="1">
        <v>5</v>
      </c>
      <c r="P32" s="1"/>
      <c r="Q32" s="5"/>
    </row>
    <row r="33" spans="8:17" ht="15.75" thickBot="1">
      <c r="H33" s="100" t="s">
        <v>20</v>
      </c>
      <c r="I33" s="101"/>
      <c r="J33" s="6"/>
      <c r="K33" s="7">
        <v>400</v>
      </c>
      <c r="L33" s="7"/>
      <c r="M33" s="7">
        <v>400</v>
      </c>
      <c r="N33" s="7">
        <v>400</v>
      </c>
      <c r="O33" s="7"/>
      <c r="P33" s="7"/>
      <c r="Q33" s="8"/>
    </row>
    <row r="35" spans="8:17" ht="15.75" thickBot="1">
      <c r="H35" s="102" t="str">
        <f>_xlfn.CONCAT("Elemento ",B7, "-Disp ",C7, "-Tiempo de espera ", D7, " semanas ", "-Lote = ", E7, " RP= ",F7)</f>
        <v xml:space="preserve">Elemento E-Disp 45-Tiempo de espera 2 semanas -Lote = 200 RP= </v>
      </c>
      <c r="I35" s="102"/>
      <c r="J35" s="103"/>
      <c r="K35" s="103"/>
      <c r="L35" s="103"/>
      <c r="M35" s="103"/>
      <c r="N35" s="103"/>
      <c r="O35" s="103"/>
      <c r="P35" s="103"/>
      <c r="Q35" s="103"/>
    </row>
    <row r="36" spans="8:17">
      <c r="H36" s="104" t="s">
        <v>11</v>
      </c>
      <c r="I36" s="105"/>
      <c r="J36" s="2">
        <v>1</v>
      </c>
      <c r="K36" s="3">
        <v>2</v>
      </c>
      <c r="L36" s="3">
        <v>3</v>
      </c>
      <c r="M36" s="3">
        <v>4</v>
      </c>
      <c r="N36" s="3">
        <v>5</v>
      </c>
      <c r="O36" s="3">
        <v>6</v>
      </c>
      <c r="P36" s="3">
        <v>7</v>
      </c>
      <c r="Q36" s="10">
        <v>8</v>
      </c>
    </row>
    <row r="37" spans="8:17">
      <c r="H37" s="100" t="s">
        <v>13</v>
      </c>
      <c r="I37" s="101"/>
      <c r="J37" s="4">
        <f>2*J25</f>
        <v>0</v>
      </c>
      <c r="K37" s="1">
        <f t="shared" ref="K37:Q37" si="9">2*K25</f>
        <v>0</v>
      </c>
      <c r="L37" s="1">
        <f>2*L25</f>
        <v>180</v>
      </c>
      <c r="M37" s="1">
        <f t="shared" si="9"/>
        <v>0</v>
      </c>
      <c r="N37" s="1">
        <f t="shared" si="9"/>
        <v>180</v>
      </c>
      <c r="O37" s="1">
        <f t="shared" si="9"/>
        <v>0</v>
      </c>
      <c r="P37" s="1">
        <f t="shared" si="9"/>
        <v>0</v>
      </c>
      <c r="Q37" s="5">
        <f t="shared" si="9"/>
        <v>0</v>
      </c>
    </row>
    <row r="38" spans="8:17">
      <c r="H38" s="100" t="s">
        <v>16</v>
      </c>
      <c r="I38" s="101"/>
      <c r="J38" s="4"/>
      <c r="K38" s="1"/>
      <c r="L38" s="1"/>
      <c r="M38" s="1"/>
      <c r="N38" s="1"/>
      <c r="O38" s="1"/>
      <c r="P38" s="1"/>
      <c r="Q38" s="5"/>
    </row>
    <row r="39" spans="8:17">
      <c r="H39" s="15" t="s">
        <v>18</v>
      </c>
      <c r="I39" s="17">
        <f>C7</f>
        <v>45</v>
      </c>
      <c r="J39" s="4">
        <f>I39-J37</f>
        <v>45</v>
      </c>
      <c r="K39" s="1">
        <f t="shared" ref="K39:M39" si="10">J39-K37</f>
        <v>45</v>
      </c>
      <c r="L39" s="1">
        <f>K39-L37+J41</f>
        <v>65</v>
      </c>
      <c r="M39" s="1">
        <f>L39-M37+K41</f>
        <v>65</v>
      </c>
      <c r="N39" s="1">
        <f>M39-N37+L41</f>
        <v>85</v>
      </c>
      <c r="O39" s="1">
        <f>N39-O37+N41</f>
        <v>85</v>
      </c>
      <c r="P39" s="1">
        <f t="shared" ref="P39:Q39" si="11">O39-P37+O41</f>
        <v>85</v>
      </c>
      <c r="Q39" s="5">
        <f t="shared" si="11"/>
        <v>85</v>
      </c>
    </row>
    <row r="40" spans="8:17">
      <c r="H40" s="100" t="s">
        <v>19</v>
      </c>
      <c r="I40" s="101"/>
      <c r="J40" s="4"/>
      <c r="K40" s="1"/>
      <c r="L40" s="1">
        <v>135</v>
      </c>
      <c r="M40" s="1"/>
      <c r="N40" s="1">
        <v>115</v>
      </c>
      <c r="O40" s="1"/>
      <c r="P40" s="1"/>
      <c r="Q40" s="5"/>
    </row>
    <row r="41" spans="8:17" ht="15.75" thickBot="1">
      <c r="H41" s="100" t="s">
        <v>20</v>
      </c>
      <c r="I41" s="101"/>
      <c r="J41" s="6">
        <v>200</v>
      </c>
      <c r="K41" s="7"/>
      <c r="L41" s="7">
        <v>200</v>
      </c>
      <c r="M41" s="7"/>
      <c r="N41" s="7"/>
      <c r="O41" s="7"/>
      <c r="P41" s="7"/>
      <c r="Q41" s="8"/>
    </row>
  </sheetData>
  <mergeCells count="32">
    <mergeCell ref="B1:F1"/>
    <mergeCell ref="C10:E10"/>
    <mergeCell ref="H4:I4"/>
    <mergeCell ref="H5:I5"/>
    <mergeCell ref="H6:I6"/>
    <mergeCell ref="H8:I8"/>
    <mergeCell ref="H9:I9"/>
    <mergeCell ref="H3:Q3"/>
    <mergeCell ref="H25:I25"/>
    <mergeCell ref="H11:Q11"/>
    <mergeCell ref="H12:I12"/>
    <mergeCell ref="H13:I13"/>
    <mergeCell ref="H14:I14"/>
    <mergeCell ref="H16:I16"/>
    <mergeCell ref="H17:I17"/>
    <mergeCell ref="H19:Q19"/>
    <mergeCell ref="H20:I20"/>
    <mergeCell ref="H21:I21"/>
    <mergeCell ref="H22:I22"/>
    <mergeCell ref="H24:I24"/>
    <mergeCell ref="H41:I41"/>
    <mergeCell ref="H27:Q27"/>
    <mergeCell ref="H28:I28"/>
    <mergeCell ref="H29:I29"/>
    <mergeCell ref="H30:I30"/>
    <mergeCell ref="H32:I32"/>
    <mergeCell ref="H33:I33"/>
    <mergeCell ref="H35:Q35"/>
    <mergeCell ref="H36:I36"/>
    <mergeCell ref="H37:I37"/>
    <mergeCell ref="H38:I38"/>
    <mergeCell ref="H40:I4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92D9-3041-44C0-9971-C1056FC9E776}">
  <dimension ref="A1:Q62"/>
  <sheetViews>
    <sheetView topLeftCell="A37" workbookViewId="0">
      <selection activeCell="H55" sqref="H55"/>
    </sheetView>
  </sheetViews>
  <sheetFormatPr defaultRowHeight="15"/>
  <cols>
    <col min="2" max="2" width="19.7109375" customWidth="1"/>
    <col min="3" max="3" width="9.28515625" bestFit="1" customWidth="1"/>
    <col min="10" max="10" width="9.28515625" bestFit="1" customWidth="1"/>
    <col min="12" max="12" width="9.28515625" bestFit="1" customWidth="1"/>
    <col min="14" max="14" width="9.28515625" bestFit="1" customWidth="1"/>
    <col min="15" max="15" width="4.85546875" customWidth="1"/>
    <col min="16" max="16" width="10.140625" customWidth="1"/>
    <col min="17" max="17" width="10.7109375" customWidth="1"/>
  </cols>
  <sheetData>
    <row r="1" spans="1:17">
      <c r="A1" s="112" t="s">
        <v>22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7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</row>
    <row r="3" spans="1:17">
      <c r="B3" s="20"/>
      <c r="C3" s="113" t="s">
        <v>23</v>
      </c>
      <c r="D3" s="113"/>
      <c r="E3" s="113"/>
      <c r="F3" s="113"/>
      <c r="G3" s="113" t="s">
        <v>24</v>
      </c>
      <c r="H3" s="113"/>
      <c r="I3" s="113"/>
      <c r="J3" s="113"/>
      <c r="K3" s="113" t="s">
        <v>25</v>
      </c>
      <c r="L3" s="113"/>
      <c r="M3" s="113"/>
      <c r="N3" s="114"/>
    </row>
    <row r="4" spans="1:17">
      <c r="B4" s="21" t="s">
        <v>26</v>
      </c>
      <c r="C4" s="22" t="s">
        <v>27</v>
      </c>
      <c r="D4" s="22" t="s">
        <v>28</v>
      </c>
      <c r="E4" s="22" t="s">
        <v>29</v>
      </c>
      <c r="F4" s="22" t="s">
        <v>30</v>
      </c>
      <c r="G4" s="22" t="s">
        <v>27</v>
      </c>
      <c r="H4" s="22" t="s">
        <v>31</v>
      </c>
      <c r="I4" s="22" t="s">
        <v>29</v>
      </c>
      <c r="J4" s="22" t="s">
        <v>32</v>
      </c>
      <c r="K4" s="22" t="s">
        <v>27</v>
      </c>
      <c r="L4" s="22" t="s">
        <v>33</v>
      </c>
      <c r="M4" s="22" t="s">
        <v>29</v>
      </c>
      <c r="N4" s="23" t="s">
        <v>34</v>
      </c>
      <c r="P4" s="27" t="s">
        <v>35</v>
      </c>
      <c r="Q4" s="28" t="s">
        <v>36</v>
      </c>
    </row>
    <row r="5" spans="1:17">
      <c r="B5" s="21" t="s">
        <v>37</v>
      </c>
      <c r="C5" s="24">
        <v>105</v>
      </c>
      <c r="D5" s="30">
        <f>(C5-$P5)/$P5</f>
        <v>0</v>
      </c>
      <c r="E5" s="24">
        <v>30</v>
      </c>
      <c r="F5" s="30">
        <f>(E5-$Q5)/$Q5</f>
        <v>0</v>
      </c>
      <c r="G5" s="24">
        <v>110</v>
      </c>
      <c r="H5" s="30">
        <f>(G5-$P5)/$P5</f>
        <v>4.7619047619047616E-2</v>
      </c>
      <c r="I5" s="24">
        <v>35</v>
      </c>
      <c r="J5" s="30">
        <f>(I5-$Q5)/$Q5</f>
        <v>0.16666666666666666</v>
      </c>
      <c r="K5" s="24">
        <v>120</v>
      </c>
      <c r="L5" s="30">
        <f>(K5-$P5)/$P5</f>
        <v>0.14285714285714285</v>
      </c>
      <c r="M5" s="24">
        <v>34</v>
      </c>
      <c r="N5" s="30">
        <f>(M5-$Q5)/$Q5</f>
        <v>0.13333333333333333</v>
      </c>
      <c r="P5" s="29">
        <f>MIN(C5,G5,K5)</f>
        <v>105</v>
      </c>
      <c r="Q5" s="25">
        <f>MIN(E5,I5,M5)</f>
        <v>30</v>
      </c>
    </row>
    <row r="6" spans="1:17">
      <c r="B6" s="21" t="s">
        <v>38</v>
      </c>
      <c r="C6" s="24">
        <v>70</v>
      </c>
      <c r="D6" s="30">
        <f t="shared" ref="D6:D8" si="0">(C6-$P6)/$P6</f>
        <v>0.16666666666666666</v>
      </c>
      <c r="E6" s="24">
        <v>22</v>
      </c>
      <c r="F6" s="30">
        <f t="shared" ref="F6:F8" si="1">(E6-$Q6)/$Q6</f>
        <v>0</v>
      </c>
      <c r="G6" s="24">
        <v>60</v>
      </c>
      <c r="H6" s="30">
        <f t="shared" ref="H6:H8" si="2">(G6-$P6)/$P6</f>
        <v>0</v>
      </c>
      <c r="I6" s="24">
        <v>24</v>
      </c>
      <c r="J6" s="30">
        <f t="shared" ref="J6:J8" si="3">(I6-$Q6)/$Q6</f>
        <v>9.0909090909090912E-2</v>
      </c>
      <c r="K6" s="24">
        <v>62</v>
      </c>
      <c r="L6" s="30">
        <f t="shared" ref="L6:L8" si="4">(K6-$P6)/$P6</f>
        <v>3.3333333333333333E-2</v>
      </c>
      <c r="M6" s="24">
        <v>24</v>
      </c>
      <c r="N6" s="30">
        <f t="shared" ref="N6:N8" si="5">(M6-$Q6)/$Q6</f>
        <v>9.0909090909090912E-2</v>
      </c>
      <c r="P6" s="29">
        <f t="shared" ref="P6:P8" si="6">MIN(C6,G6,K6)</f>
        <v>60</v>
      </c>
      <c r="Q6" s="25">
        <f t="shared" ref="Q6:Q8" si="7">MIN(E6,I6,M6)</f>
        <v>22</v>
      </c>
    </row>
    <row r="7" spans="1:17">
      <c r="B7" s="21" t="s">
        <v>39</v>
      </c>
      <c r="C7" s="24">
        <v>200</v>
      </c>
      <c r="D7" s="30">
        <f t="shared" si="0"/>
        <v>5.2631578947368418E-2</v>
      </c>
      <c r="E7" s="24">
        <v>11</v>
      </c>
      <c r="F7" s="30">
        <f t="shared" si="1"/>
        <v>0.375</v>
      </c>
      <c r="G7" s="24">
        <v>195</v>
      </c>
      <c r="H7" s="30">
        <f t="shared" si="2"/>
        <v>2.6315789473684209E-2</v>
      </c>
      <c r="I7" s="24">
        <v>8</v>
      </c>
      <c r="J7" s="30">
        <f t="shared" si="3"/>
        <v>0</v>
      </c>
      <c r="K7" s="24">
        <v>190</v>
      </c>
      <c r="L7" s="30">
        <f t="shared" si="4"/>
        <v>0</v>
      </c>
      <c r="M7" s="24">
        <v>12</v>
      </c>
      <c r="N7" s="30">
        <f t="shared" si="5"/>
        <v>0.5</v>
      </c>
      <c r="P7" s="29">
        <f t="shared" si="6"/>
        <v>190</v>
      </c>
      <c r="Q7" s="25">
        <f t="shared" si="7"/>
        <v>8</v>
      </c>
    </row>
    <row r="8" spans="1:17">
      <c r="B8" s="21" t="s">
        <v>40</v>
      </c>
      <c r="C8" s="24">
        <v>75</v>
      </c>
      <c r="D8" s="30">
        <f t="shared" si="0"/>
        <v>0</v>
      </c>
      <c r="E8" s="24">
        <v>14</v>
      </c>
      <c r="F8" s="30">
        <f t="shared" si="1"/>
        <v>0.4</v>
      </c>
      <c r="G8" s="24">
        <v>80</v>
      </c>
      <c r="H8" s="30">
        <f t="shared" si="2"/>
        <v>6.6666666666666666E-2</v>
      </c>
      <c r="I8" s="24">
        <v>10</v>
      </c>
      <c r="J8" s="30">
        <f t="shared" si="3"/>
        <v>0</v>
      </c>
      <c r="K8" s="24">
        <v>85</v>
      </c>
      <c r="L8" s="30">
        <f t="shared" si="4"/>
        <v>0.13333333333333333</v>
      </c>
      <c r="M8" s="24">
        <v>13</v>
      </c>
      <c r="N8" s="30">
        <f t="shared" si="5"/>
        <v>0.3</v>
      </c>
      <c r="P8" s="29">
        <f t="shared" si="6"/>
        <v>75</v>
      </c>
      <c r="Q8" s="25">
        <f t="shared" si="7"/>
        <v>10</v>
      </c>
    </row>
    <row r="9" spans="1:17">
      <c r="B9" s="26" t="s">
        <v>41</v>
      </c>
      <c r="C9" s="110">
        <v>35</v>
      </c>
      <c r="D9" s="110"/>
      <c r="E9" s="110"/>
      <c r="F9" s="110"/>
      <c r="G9" s="110">
        <v>30</v>
      </c>
      <c r="H9" s="110"/>
      <c r="I9" s="110"/>
      <c r="J9" s="110"/>
      <c r="K9" s="110">
        <v>25</v>
      </c>
      <c r="L9" s="110"/>
      <c r="M9" s="110"/>
      <c r="N9" s="111"/>
    </row>
    <row r="11" spans="1:17">
      <c r="B11" t="s">
        <v>42</v>
      </c>
    </row>
    <row r="12" spans="1:17">
      <c r="B12" s="20"/>
      <c r="C12" s="18" t="s">
        <v>23</v>
      </c>
      <c r="D12" s="18" t="s">
        <v>24</v>
      </c>
      <c r="E12" s="19" t="s">
        <v>25</v>
      </c>
    </row>
    <row r="13" spans="1:17">
      <c r="B13" s="21" t="s">
        <v>37</v>
      </c>
      <c r="C13" s="24">
        <v>30</v>
      </c>
      <c r="D13" s="24"/>
      <c r="E13" s="25"/>
    </row>
    <row r="14" spans="1:17">
      <c r="B14" s="21" t="s">
        <v>38</v>
      </c>
      <c r="C14" s="24"/>
      <c r="D14" s="24">
        <v>24</v>
      </c>
      <c r="E14" s="25"/>
    </row>
    <row r="15" spans="1:17">
      <c r="B15" s="21" t="s">
        <v>39</v>
      </c>
      <c r="C15" s="24"/>
      <c r="D15" s="24"/>
      <c r="E15" s="25">
        <v>12</v>
      </c>
    </row>
    <row r="16" spans="1:17">
      <c r="B16" s="21" t="s">
        <v>40</v>
      </c>
      <c r="C16" s="24">
        <v>14</v>
      </c>
      <c r="D16" s="24"/>
      <c r="E16" s="25"/>
    </row>
    <row r="17" spans="2:5">
      <c r="B17" s="33" t="s">
        <v>43</v>
      </c>
      <c r="C17" s="24">
        <f>SUM(C13:C16)</f>
        <v>44</v>
      </c>
      <c r="D17" s="24">
        <f t="shared" ref="D17:E17" si="8">SUM(D13:D16)</f>
        <v>24</v>
      </c>
      <c r="E17" s="24">
        <f t="shared" si="8"/>
        <v>12</v>
      </c>
    </row>
    <row r="18" spans="2:5">
      <c r="B18" s="34" t="s">
        <v>44</v>
      </c>
      <c r="C18" s="31">
        <v>35</v>
      </c>
      <c r="D18" s="31">
        <v>30</v>
      </c>
      <c r="E18" s="31">
        <v>25</v>
      </c>
    </row>
    <row r="19" spans="2:5">
      <c r="B19" s="35" t="s">
        <v>45</v>
      </c>
      <c r="C19" s="32">
        <f>C17-C18</f>
        <v>9</v>
      </c>
      <c r="D19" s="32">
        <f t="shared" ref="D19:E19" si="9">D17-D18</f>
        <v>-6</v>
      </c>
      <c r="E19" s="32">
        <f t="shared" si="9"/>
        <v>-13</v>
      </c>
    </row>
    <row r="21" spans="2:5">
      <c r="B21" s="37" t="s">
        <v>46</v>
      </c>
      <c r="C21" s="38" t="s">
        <v>23</v>
      </c>
      <c r="D21" s="39" t="s">
        <v>24</v>
      </c>
    </row>
    <row r="22" spans="2:5">
      <c r="B22" s="36" t="s">
        <v>47</v>
      </c>
      <c r="C22" s="45">
        <v>9</v>
      </c>
      <c r="D22" s="40">
        <f>C22*D23/C23</f>
        <v>10.5</v>
      </c>
    </row>
    <row r="23" spans="2:5">
      <c r="B23" s="36" t="s">
        <v>48</v>
      </c>
      <c r="C23" s="45">
        <f>C13</f>
        <v>30</v>
      </c>
      <c r="D23" s="47">
        <v>35</v>
      </c>
    </row>
    <row r="24" spans="2:5">
      <c r="B24" s="36" t="s">
        <v>49</v>
      </c>
      <c r="C24" s="30">
        <f>C23*D24/D23</f>
        <v>5.1428571428571432</v>
      </c>
      <c r="D24" s="46">
        <v>6</v>
      </c>
    </row>
    <row r="25" spans="2:5">
      <c r="B25" s="42" t="s">
        <v>50</v>
      </c>
      <c r="C25" s="43">
        <f>MIN(C22:C24)</f>
        <v>5.1428571428571432</v>
      </c>
      <c r="D25" s="44">
        <f>MIN(D22:D24)</f>
        <v>6</v>
      </c>
    </row>
    <row r="29" spans="2:5">
      <c r="B29" s="20"/>
      <c r="C29" s="18" t="s">
        <v>23</v>
      </c>
      <c r="D29" s="18" t="s">
        <v>24</v>
      </c>
      <c r="E29" s="19" t="s">
        <v>25</v>
      </c>
    </row>
    <row r="30" spans="2:5">
      <c r="B30" s="21" t="s">
        <v>37</v>
      </c>
      <c r="C30" s="30">
        <f>C13-C25</f>
        <v>24.857142857142858</v>
      </c>
      <c r="D30" s="30">
        <v>6</v>
      </c>
      <c r="E30" s="40"/>
    </row>
    <row r="31" spans="2:5">
      <c r="B31" s="21" t="s">
        <v>38</v>
      </c>
      <c r="C31" s="30"/>
      <c r="D31" s="30">
        <v>24</v>
      </c>
      <c r="E31" s="40"/>
    </row>
    <row r="32" spans="2:5">
      <c r="B32" s="21" t="s">
        <v>39</v>
      </c>
      <c r="C32" s="30"/>
      <c r="D32" s="30"/>
      <c r="E32" s="40">
        <v>12</v>
      </c>
    </row>
    <row r="33" spans="2:5">
      <c r="B33" s="21" t="s">
        <v>40</v>
      </c>
      <c r="C33" s="30">
        <f>C16</f>
        <v>14</v>
      </c>
      <c r="D33" s="30"/>
      <c r="E33" s="40"/>
    </row>
    <row r="34" spans="2:5">
      <c r="B34" s="33" t="s">
        <v>43</v>
      </c>
      <c r="C34" s="30">
        <f>SUM(C30:C33)</f>
        <v>38.857142857142861</v>
      </c>
      <c r="D34" s="30">
        <f t="shared" ref="D34" si="10">SUM(D30:D33)</f>
        <v>30</v>
      </c>
      <c r="E34" s="30">
        <f t="shared" ref="E34" si="11">SUM(E30:E33)</f>
        <v>12</v>
      </c>
    </row>
    <row r="35" spans="2:5">
      <c r="B35" s="34" t="s">
        <v>44</v>
      </c>
      <c r="C35" s="48">
        <v>35</v>
      </c>
      <c r="D35" s="48">
        <v>30</v>
      </c>
      <c r="E35" s="48">
        <v>25</v>
      </c>
    </row>
    <row r="36" spans="2:5">
      <c r="B36" s="35" t="s">
        <v>45</v>
      </c>
      <c r="C36" s="41">
        <f>C34-C35</f>
        <v>3.8571428571428612</v>
      </c>
      <c r="D36" s="41">
        <f t="shared" ref="D36:E36" si="12">D34-D35</f>
        <v>0</v>
      </c>
      <c r="E36" s="41">
        <f t="shared" si="12"/>
        <v>-13</v>
      </c>
    </row>
    <row r="38" spans="2:5">
      <c r="B38" s="37" t="s">
        <v>51</v>
      </c>
      <c r="C38" s="38" t="s">
        <v>23</v>
      </c>
      <c r="D38" s="39" t="s">
        <v>25</v>
      </c>
    </row>
    <row r="39" spans="2:5">
      <c r="B39" s="36" t="s">
        <v>47</v>
      </c>
      <c r="C39" s="45">
        <f>C36</f>
        <v>3.8571428571428612</v>
      </c>
      <c r="D39" s="40">
        <f>C39*D40/C40</f>
        <v>3.5816326530612281</v>
      </c>
    </row>
    <row r="40" spans="2:5">
      <c r="B40" s="36" t="s">
        <v>52</v>
      </c>
      <c r="C40" s="45">
        <v>14</v>
      </c>
      <c r="D40" s="47">
        <f>M8</f>
        <v>13</v>
      </c>
    </row>
    <row r="41" spans="2:5">
      <c r="B41" s="36" t="s">
        <v>53</v>
      </c>
      <c r="C41" s="30">
        <f>C40*D41/D40</f>
        <v>14</v>
      </c>
      <c r="D41" s="46">
        <f>-1*E36</f>
        <v>13</v>
      </c>
    </row>
    <row r="42" spans="2:5">
      <c r="B42" s="42" t="s">
        <v>50</v>
      </c>
      <c r="C42" s="43">
        <f>MIN(C39:C41)</f>
        <v>3.8571428571428612</v>
      </c>
      <c r="D42" s="44">
        <f>MIN(D39:D41)</f>
        <v>3.5816326530612281</v>
      </c>
    </row>
    <row r="45" spans="2:5">
      <c r="B45" s="20"/>
      <c r="C45" s="18" t="s">
        <v>23</v>
      </c>
      <c r="D45" s="18" t="s">
        <v>24</v>
      </c>
      <c r="E45" s="19" t="s">
        <v>25</v>
      </c>
    </row>
    <row r="46" spans="2:5">
      <c r="B46" s="21" t="s">
        <v>37</v>
      </c>
      <c r="C46" s="30">
        <f>C30</f>
        <v>24.857142857142858</v>
      </c>
      <c r="D46" s="30">
        <v>6</v>
      </c>
      <c r="E46" s="40"/>
    </row>
    <row r="47" spans="2:5">
      <c r="B47" s="21" t="s">
        <v>38</v>
      </c>
      <c r="C47" s="30"/>
      <c r="D47" s="30">
        <v>24</v>
      </c>
      <c r="E47" s="40"/>
    </row>
    <row r="48" spans="2:5">
      <c r="B48" s="21" t="s">
        <v>39</v>
      </c>
      <c r="C48" s="30"/>
      <c r="D48" s="30"/>
      <c r="E48" s="40">
        <v>12</v>
      </c>
    </row>
    <row r="49" spans="2:5">
      <c r="B49" s="21" t="s">
        <v>40</v>
      </c>
      <c r="C49" s="30">
        <f>C33-C42</f>
        <v>10.142857142857139</v>
      </c>
      <c r="D49" s="30"/>
      <c r="E49" s="40">
        <f>D42</f>
        <v>3.5816326530612281</v>
      </c>
    </row>
    <row r="50" spans="2:5">
      <c r="B50" s="33" t="s">
        <v>43</v>
      </c>
      <c r="C50" s="30">
        <f>SUM(C46:C49)</f>
        <v>35</v>
      </c>
      <c r="D50" s="30">
        <f t="shared" ref="D50" si="13">SUM(D46:D49)</f>
        <v>30</v>
      </c>
      <c r="E50" s="30">
        <f t="shared" ref="E50" si="14">SUM(E46:E49)</f>
        <v>15.581632653061227</v>
      </c>
    </row>
    <row r="51" spans="2:5">
      <c r="B51" s="34" t="s">
        <v>44</v>
      </c>
      <c r="C51" s="48">
        <v>35</v>
      </c>
      <c r="D51" s="48">
        <v>30</v>
      </c>
      <c r="E51" s="48">
        <v>25</v>
      </c>
    </row>
    <row r="52" spans="2:5">
      <c r="B52" s="35" t="s">
        <v>45</v>
      </c>
      <c r="C52" s="41">
        <f>C50-C51</f>
        <v>0</v>
      </c>
      <c r="D52" s="41">
        <f t="shared" ref="D52" si="15">D50-D51</f>
        <v>0</v>
      </c>
      <c r="E52" s="41">
        <f t="shared" ref="E52" si="16">E50-E51</f>
        <v>-9.4183673469387728</v>
      </c>
    </row>
    <row r="55" spans="2:5">
      <c r="B55" t="s">
        <v>54</v>
      </c>
    </row>
    <row r="56" spans="2:5">
      <c r="B56" s="20"/>
      <c r="C56" s="18" t="s">
        <v>23</v>
      </c>
      <c r="D56" s="18" t="s">
        <v>24</v>
      </c>
      <c r="E56" s="19" t="s">
        <v>25</v>
      </c>
    </row>
    <row r="57" spans="2:5">
      <c r="B57" s="21" t="s">
        <v>37</v>
      </c>
      <c r="C57" s="30">
        <f>C46/E5*C5</f>
        <v>87</v>
      </c>
      <c r="D57" s="30">
        <f>D46/I5*G5</f>
        <v>18.857142857142858</v>
      </c>
      <c r="E57" s="40">
        <f>E46/M5*K5</f>
        <v>0</v>
      </c>
    </row>
    <row r="58" spans="2:5">
      <c r="B58" s="21" t="s">
        <v>38</v>
      </c>
      <c r="C58" s="30">
        <f t="shared" ref="C58:C60" si="17">C47/E6*C6</f>
        <v>0</v>
      </c>
      <c r="D58" s="30">
        <f t="shared" ref="D58:D60" si="18">D47/I6*G6</f>
        <v>60</v>
      </c>
      <c r="E58" s="40">
        <f t="shared" ref="E58:E60" si="19">E47/M6*K6</f>
        <v>0</v>
      </c>
    </row>
    <row r="59" spans="2:5">
      <c r="B59" s="21" t="s">
        <v>39</v>
      </c>
      <c r="C59" s="30">
        <f t="shared" si="17"/>
        <v>0</v>
      </c>
      <c r="D59" s="30">
        <f t="shared" si="18"/>
        <v>0</v>
      </c>
      <c r="E59" s="40">
        <f t="shared" si="19"/>
        <v>190</v>
      </c>
    </row>
    <row r="60" spans="2:5">
      <c r="B60" s="49" t="s">
        <v>40</v>
      </c>
      <c r="C60" s="30">
        <f t="shared" si="17"/>
        <v>54.336734693877531</v>
      </c>
      <c r="D60" s="30">
        <f t="shared" si="18"/>
        <v>0</v>
      </c>
      <c r="E60" s="40">
        <f t="shared" si="19"/>
        <v>23.418367346938801</v>
      </c>
    </row>
    <row r="61" spans="2:5">
      <c r="B61" s="34" t="s">
        <v>55</v>
      </c>
      <c r="C61" s="48">
        <f>SUM(C57:C60)</f>
        <v>141.33673469387753</v>
      </c>
      <c r="D61" s="48">
        <f t="shared" ref="D61:E61" si="20">SUM(D57:D60)</f>
        <v>78.857142857142861</v>
      </c>
      <c r="E61" s="48">
        <f t="shared" si="20"/>
        <v>213.41836734693879</v>
      </c>
    </row>
    <row r="62" spans="2:5">
      <c r="B62" s="26" t="s">
        <v>56</v>
      </c>
      <c r="C62" s="109">
        <f>SUM(C61:E61)</f>
        <v>433.61224489795916</v>
      </c>
      <c r="D62" s="110"/>
      <c r="E62" s="111"/>
    </row>
  </sheetData>
  <mergeCells count="8">
    <mergeCell ref="C62:E62"/>
    <mergeCell ref="A1:O2"/>
    <mergeCell ref="C3:F3"/>
    <mergeCell ref="C9:F9"/>
    <mergeCell ref="G3:J3"/>
    <mergeCell ref="K3:N3"/>
    <mergeCell ref="G9:J9"/>
    <mergeCell ref="K9:N9"/>
  </mergeCells>
  <conditionalFormatting sqref="D5:D8 F5:F8 H5:H8 J5:J8 L5:L8 N5:N8">
    <cfRule type="cellIs" dxfId="4" priority="4" operator="lessThanOrEqual">
      <formula>0</formula>
    </cfRule>
  </conditionalFormatting>
  <conditionalFormatting sqref="C19:E19">
    <cfRule type="cellIs" dxfId="3" priority="3" operator="greaterThan">
      <formula>0</formula>
    </cfRule>
  </conditionalFormatting>
  <conditionalFormatting sqref="C36:E36">
    <cfRule type="cellIs" dxfId="2" priority="2" operator="greaterThan">
      <formula>0</formula>
    </cfRule>
  </conditionalFormatting>
  <conditionalFormatting sqref="C52:E52">
    <cfRule type="cellIs" dxfId="1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8322-D136-4658-9B87-2F76DF4C45D0}">
  <dimension ref="B1:BA63"/>
  <sheetViews>
    <sheetView topLeftCell="I32" workbookViewId="0">
      <selection activeCell="AU66" sqref="AU66"/>
    </sheetView>
  </sheetViews>
  <sheetFormatPr defaultRowHeight="15"/>
  <cols>
    <col min="2" max="2" width="7.28515625" bestFit="1" customWidth="1"/>
    <col min="3" max="4" width="2.28515625" bestFit="1" customWidth="1"/>
    <col min="5" max="5" width="2.5703125" bestFit="1" customWidth="1"/>
    <col min="6" max="6" width="2.42578125" bestFit="1" customWidth="1"/>
    <col min="7" max="7" width="10.42578125" customWidth="1"/>
    <col min="8" max="8" width="6" bestFit="1" customWidth="1"/>
    <col min="18" max="18" width="11.42578125" customWidth="1"/>
    <col min="19" max="19" width="12" customWidth="1"/>
    <col min="22" max="48" width="3.7109375" customWidth="1"/>
  </cols>
  <sheetData>
    <row r="1" spans="2:48">
      <c r="Q1" s="64" t="s">
        <v>57</v>
      </c>
      <c r="R1" s="65">
        <v>0</v>
      </c>
    </row>
    <row r="2" spans="2:48">
      <c r="B2" s="37" t="s">
        <v>58</v>
      </c>
      <c r="C2" s="38" t="s">
        <v>7</v>
      </c>
      <c r="D2" s="38" t="s">
        <v>10</v>
      </c>
      <c r="E2" s="38" t="s">
        <v>12</v>
      </c>
      <c r="F2" s="38" t="s">
        <v>14</v>
      </c>
      <c r="G2" s="38" t="s">
        <v>59</v>
      </c>
      <c r="H2" s="39" t="s">
        <v>60</v>
      </c>
      <c r="J2" s="51" t="s">
        <v>58</v>
      </c>
      <c r="K2" s="133" t="s">
        <v>59</v>
      </c>
      <c r="L2" s="133"/>
      <c r="M2" s="133"/>
      <c r="N2" s="133"/>
      <c r="O2" s="55" t="s">
        <v>60</v>
      </c>
      <c r="Q2" s="73" t="s">
        <v>61</v>
      </c>
      <c r="R2" s="74" t="s">
        <v>62</v>
      </c>
      <c r="S2" s="62" t="s">
        <v>63</v>
      </c>
      <c r="T2" s="63" t="s">
        <v>64</v>
      </c>
      <c r="V2" s="68">
        <v>0</v>
      </c>
      <c r="W2" s="69">
        <v>1</v>
      </c>
      <c r="X2" s="70">
        <v>2</v>
      </c>
      <c r="Y2" s="70">
        <v>3</v>
      </c>
      <c r="Z2" s="67">
        <v>4</v>
      </c>
      <c r="AA2" s="67">
        <v>5</v>
      </c>
      <c r="AB2" s="67">
        <v>6</v>
      </c>
    </row>
    <row r="3" spans="2:48">
      <c r="B3" s="88">
        <v>1</v>
      </c>
      <c r="C3" s="24">
        <v>5</v>
      </c>
      <c r="D3" s="24">
        <v>2</v>
      </c>
      <c r="E3" s="24">
        <v>4</v>
      </c>
      <c r="F3" s="24">
        <v>5</v>
      </c>
      <c r="G3" s="24" t="s">
        <v>65</v>
      </c>
      <c r="H3" s="25">
        <v>24</v>
      </c>
      <c r="J3" s="52">
        <v>1</v>
      </c>
      <c r="K3" s="78" t="s">
        <v>66</v>
      </c>
      <c r="L3" s="24" t="s">
        <v>67</v>
      </c>
      <c r="M3" s="24" t="s">
        <v>68</v>
      </c>
      <c r="N3" s="24" t="s">
        <v>69</v>
      </c>
      <c r="O3" s="25">
        <f>$H3</f>
        <v>24</v>
      </c>
      <c r="Q3" s="142" t="s">
        <v>7</v>
      </c>
      <c r="R3" s="56" t="s">
        <v>37</v>
      </c>
      <c r="S3" s="56">
        <f>O3-R1-5+5+4+2</f>
        <v>30</v>
      </c>
      <c r="T3" s="140" t="s">
        <v>40</v>
      </c>
      <c r="V3" s="68" t="s">
        <v>7</v>
      </c>
      <c r="W3" s="115" t="s">
        <v>40</v>
      </c>
      <c r="X3" s="134"/>
      <c r="Y3" s="135"/>
      <c r="Z3" s="66"/>
      <c r="AA3" s="66"/>
      <c r="AB3" s="66"/>
    </row>
    <row r="4" spans="2:48">
      <c r="B4" s="88">
        <v>2</v>
      </c>
      <c r="C4" s="24">
        <v>4</v>
      </c>
      <c r="D4" s="24">
        <v>5</v>
      </c>
      <c r="E4" s="24">
        <v>1</v>
      </c>
      <c r="F4" s="24">
        <v>3</v>
      </c>
      <c r="G4" s="24" t="s">
        <v>70</v>
      </c>
      <c r="H4" s="25">
        <v>15</v>
      </c>
      <c r="J4" s="52">
        <v>2</v>
      </c>
      <c r="K4" s="78" t="s">
        <v>71</v>
      </c>
      <c r="L4" s="24" t="s">
        <v>72</v>
      </c>
      <c r="M4" s="24" t="s">
        <v>73</v>
      </c>
      <c r="N4" s="24" t="s">
        <v>74</v>
      </c>
      <c r="O4" s="25">
        <f t="shared" ref="O4:O7" si="0">$H4</f>
        <v>15</v>
      </c>
      <c r="Q4" s="142"/>
      <c r="R4" s="56" t="s">
        <v>40</v>
      </c>
      <c r="S4" s="56">
        <f>O4-R1+3+5+4+1</f>
        <v>28</v>
      </c>
      <c r="T4" s="141"/>
      <c r="V4" s="68" t="s">
        <v>10</v>
      </c>
      <c r="W4" s="122" t="s">
        <v>75</v>
      </c>
      <c r="X4" s="123"/>
      <c r="Y4" s="123"/>
      <c r="Z4" s="116"/>
      <c r="AA4" s="66"/>
      <c r="AB4" s="66"/>
    </row>
    <row r="5" spans="2:48">
      <c r="B5" s="88">
        <v>3</v>
      </c>
      <c r="C5" s="24">
        <v>3</v>
      </c>
      <c r="D5" s="24">
        <v>1</v>
      </c>
      <c r="E5" s="24">
        <v>6</v>
      </c>
      <c r="F5" s="24"/>
      <c r="G5" s="24" t="s">
        <v>76</v>
      </c>
      <c r="H5" s="25">
        <v>26</v>
      </c>
      <c r="J5" s="52">
        <v>3</v>
      </c>
      <c r="K5" s="78" t="s">
        <v>77</v>
      </c>
      <c r="L5" s="24" t="s">
        <v>78</v>
      </c>
      <c r="M5" s="24" t="s">
        <v>79</v>
      </c>
      <c r="N5" s="24"/>
      <c r="O5" s="25">
        <f t="shared" si="0"/>
        <v>26</v>
      </c>
      <c r="Q5" s="57" t="s">
        <v>10</v>
      </c>
      <c r="R5" s="56" t="s">
        <v>75</v>
      </c>
      <c r="S5" s="56"/>
      <c r="T5" s="58" t="s">
        <v>75</v>
      </c>
      <c r="V5" s="68" t="s">
        <v>12</v>
      </c>
      <c r="W5" s="125" t="s">
        <v>39</v>
      </c>
      <c r="X5" s="126"/>
      <c r="Y5" s="126"/>
      <c r="Z5" s="126"/>
      <c r="AA5" s="123"/>
      <c r="AB5" s="116"/>
    </row>
    <row r="6" spans="2:48">
      <c r="B6" s="88">
        <v>4</v>
      </c>
      <c r="C6" s="24">
        <v>3</v>
      </c>
      <c r="D6" s="24">
        <v>4</v>
      </c>
      <c r="E6" s="24">
        <v>2</v>
      </c>
      <c r="F6" s="24">
        <v>5</v>
      </c>
      <c r="G6" s="24" t="s">
        <v>80</v>
      </c>
      <c r="H6" s="25">
        <v>16</v>
      </c>
      <c r="J6" s="52">
        <v>4</v>
      </c>
      <c r="K6" s="78" t="s">
        <v>81</v>
      </c>
      <c r="L6" s="24" t="s">
        <v>82</v>
      </c>
      <c r="M6" s="24" t="s">
        <v>83</v>
      </c>
      <c r="N6" s="24" t="s">
        <v>67</v>
      </c>
      <c r="O6" s="25">
        <f t="shared" si="0"/>
        <v>16</v>
      </c>
      <c r="Q6" s="57" t="s">
        <v>12</v>
      </c>
      <c r="R6" s="56" t="s">
        <v>39</v>
      </c>
      <c r="S6" s="56"/>
      <c r="T6" s="58" t="s">
        <v>39</v>
      </c>
      <c r="V6" s="68" t="s">
        <v>14</v>
      </c>
      <c r="W6" s="125" t="s">
        <v>38</v>
      </c>
      <c r="X6" s="126"/>
      <c r="Y6" s="128"/>
      <c r="Z6" s="66"/>
      <c r="AA6" s="66"/>
      <c r="AB6" s="66"/>
    </row>
    <row r="7" spans="2:48">
      <c r="B7" s="89">
        <v>5</v>
      </c>
      <c r="C7" s="32">
        <v>2</v>
      </c>
      <c r="D7" s="32">
        <v>4</v>
      </c>
      <c r="E7" s="32"/>
      <c r="F7" s="32">
        <v>3</v>
      </c>
      <c r="G7" s="32" t="s">
        <v>84</v>
      </c>
      <c r="H7" s="50">
        <v>20</v>
      </c>
      <c r="J7" s="53">
        <v>5</v>
      </c>
      <c r="K7" s="79" t="s">
        <v>82</v>
      </c>
      <c r="L7" s="32" t="s">
        <v>85</v>
      </c>
      <c r="M7" s="32" t="s">
        <v>71</v>
      </c>
      <c r="N7" s="32"/>
      <c r="O7" s="50">
        <f t="shared" si="0"/>
        <v>20</v>
      </c>
      <c r="Q7" s="59" t="s">
        <v>14</v>
      </c>
      <c r="R7" s="60" t="s">
        <v>38</v>
      </c>
      <c r="S7" s="60"/>
      <c r="T7" s="61" t="s">
        <v>38</v>
      </c>
    </row>
    <row r="9" spans="2:48">
      <c r="Q9" s="84" t="s">
        <v>57</v>
      </c>
      <c r="R9" s="85">
        <v>3</v>
      </c>
    </row>
    <row r="10" spans="2:48">
      <c r="J10" s="51" t="s">
        <v>58</v>
      </c>
      <c r="K10" s="133" t="s">
        <v>59</v>
      </c>
      <c r="L10" s="133"/>
      <c r="M10" s="133"/>
      <c r="N10" s="133"/>
      <c r="O10" s="55" t="s">
        <v>60</v>
      </c>
      <c r="Q10" s="83" t="s">
        <v>61</v>
      </c>
      <c r="R10" s="81" t="s">
        <v>62</v>
      </c>
      <c r="S10" s="81" t="s">
        <v>63</v>
      </c>
      <c r="T10" s="82" t="s">
        <v>64</v>
      </c>
      <c r="V10" s="68">
        <v>0</v>
      </c>
      <c r="W10" s="69">
        <v>1</v>
      </c>
      <c r="X10" s="70">
        <v>2</v>
      </c>
      <c r="Y10" s="70">
        <v>3</v>
      </c>
      <c r="Z10" s="70">
        <v>4</v>
      </c>
      <c r="AA10" s="70">
        <v>5</v>
      </c>
      <c r="AB10" s="70">
        <v>6</v>
      </c>
      <c r="AC10" s="70">
        <v>7</v>
      </c>
      <c r="AD10" s="70">
        <v>8</v>
      </c>
      <c r="AE10" s="67">
        <v>9</v>
      </c>
      <c r="AF10" s="67">
        <v>10</v>
      </c>
      <c r="AG10" s="67">
        <v>11</v>
      </c>
      <c r="AH10" s="67">
        <v>12</v>
      </c>
      <c r="AI10" s="67">
        <v>13</v>
      </c>
      <c r="AJ10" s="67">
        <v>14</v>
      </c>
      <c r="AK10" s="67">
        <v>15</v>
      </c>
      <c r="AL10" s="67">
        <v>16</v>
      </c>
      <c r="AM10" s="67">
        <v>17</v>
      </c>
      <c r="AN10" s="67">
        <v>18</v>
      </c>
      <c r="AO10" s="67">
        <v>19</v>
      </c>
      <c r="AP10" s="67">
        <v>20</v>
      </c>
      <c r="AQ10" s="67">
        <v>21</v>
      </c>
      <c r="AR10" s="67">
        <v>22</v>
      </c>
      <c r="AS10" s="67">
        <v>23</v>
      </c>
      <c r="AT10" s="67">
        <v>24</v>
      </c>
      <c r="AU10" s="67">
        <v>25</v>
      </c>
      <c r="AV10" s="67">
        <v>26</v>
      </c>
    </row>
    <row r="11" spans="2:48">
      <c r="J11" s="52">
        <v>1</v>
      </c>
      <c r="K11" s="78" t="s">
        <v>66</v>
      </c>
      <c r="L11" s="77" t="s">
        <v>67</v>
      </c>
      <c r="M11" s="24" t="s">
        <v>68</v>
      </c>
      <c r="N11" s="24" t="s">
        <v>69</v>
      </c>
      <c r="O11" s="25">
        <v>24</v>
      </c>
      <c r="Q11" s="57" t="s">
        <v>7</v>
      </c>
      <c r="R11" s="56" t="s">
        <v>37</v>
      </c>
      <c r="S11" s="56"/>
      <c r="T11" s="58" t="s">
        <v>37</v>
      </c>
      <c r="V11" s="68" t="s">
        <v>7</v>
      </c>
      <c r="W11" s="115" t="s">
        <v>40</v>
      </c>
      <c r="X11" s="134"/>
      <c r="Y11" s="134"/>
      <c r="Z11" s="122" t="s">
        <v>37</v>
      </c>
      <c r="AA11" s="123"/>
      <c r="AB11" s="123"/>
      <c r="AC11" s="123"/>
      <c r="AD11" s="116"/>
    </row>
    <row r="12" spans="2:48">
      <c r="J12" s="52">
        <v>2</v>
      </c>
      <c r="K12" s="71" t="s">
        <v>71</v>
      </c>
      <c r="L12" s="77" t="s">
        <v>72</v>
      </c>
      <c r="M12" s="24" t="s">
        <v>73</v>
      </c>
      <c r="N12" s="24" t="s">
        <v>74</v>
      </c>
      <c r="O12" s="25">
        <v>15</v>
      </c>
      <c r="Q12" s="57" t="s">
        <v>14</v>
      </c>
      <c r="R12" s="56" t="s">
        <v>86</v>
      </c>
      <c r="S12" s="56"/>
      <c r="T12" s="58" t="s">
        <v>87</v>
      </c>
      <c r="V12" s="68" t="s">
        <v>10</v>
      </c>
      <c r="W12" s="122" t="s">
        <v>75</v>
      </c>
      <c r="X12" s="123"/>
      <c r="Y12" s="123"/>
      <c r="Z12" s="128"/>
      <c r="AA12" s="66"/>
      <c r="AB12" s="66"/>
    </row>
    <row r="13" spans="2:48">
      <c r="J13" s="52">
        <v>3</v>
      </c>
      <c r="K13" s="75" t="s">
        <v>77</v>
      </c>
      <c r="L13" s="24" t="s">
        <v>78</v>
      </c>
      <c r="M13" s="24" t="s">
        <v>79</v>
      </c>
      <c r="N13" s="24"/>
      <c r="O13" s="25">
        <v>26</v>
      </c>
      <c r="Q13" s="57"/>
      <c r="R13" s="56"/>
      <c r="S13" s="56"/>
      <c r="T13" s="58"/>
      <c r="V13" s="68" t="s">
        <v>12</v>
      </c>
      <c r="W13" s="125" t="s">
        <v>39</v>
      </c>
      <c r="X13" s="126"/>
      <c r="Y13" s="126"/>
      <c r="Z13" s="127"/>
      <c r="AA13" s="123"/>
      <c r="AB13" s="116"/>
    </row>
    <row r="14" spans="2:48">
      <c r="J14" s="52">
        <v>4</v>
      </c>
      <c r="K14" s="71" t="s">
        <v>81</v>
      </c>
      <c r="L14" s="77" t="s">
        <v>82</v>
      </c>
      <c r="M14" s="24" t="s">
        <v>83</v>
      </c>
      <c r="N14" s="24" t="s">
        <v>67</v>
      </c>
      <c r="O14" s="25">
        <v>16</v>
      </c>
      <c r="Q14" s="57"/>
      <c r="R14" s="56"/>
      <c r="S14" s="56"/>
      <c r="T14" s="58"/>
      <c r="V14" s="68" t="s">
        <v>14</v>
      </c>
      <c r="W14" s="125" t="s">
        <v>38</v>
      </c>
      <c r="X14" s="126"/>
      <c r="Y14" s="126"/>
      <c r="Z14" s="86"/>
      <c r="AA14" s="66"/>
      <c r="AB14" s="66"/>
    </row>
    <row r="15" spans="2:48">
      <c r="J15" s="53">
        <v>5</v>
      </c>
      <c r="K15" s="76" t="s">
        <v>82</v>
      </c>
      <c r="L15" s="32" t="s">
        <v>85</v>
      </c>
      <c r="M15" s="32" t="s">
        <v>71</v>
      </c>
      <c r="N15" s="32"/>
      <c r="O15" s="50">
        <v>20</v>
      </c>
      <c r="Q15" s="59"/>
      <c r="R15" s="60"/>
      <c r="S15" s="60"/>
      <c r="T15" s="61"/>
    </row>
    <row r="17" spans="10:48">
      <c r="Q17" s="84" t="s">
        <v>57</v>
      </c>
      <c r="R17" s="85">
        <v>4</v>
      </c>
    </row>
    <row r="18" spans="10:48">
      <c r="J18" s="51" t="s">
        <v>58</v>
      </c>
      <c r="K18" s="133" t="s">
        <v>59</v>
      </c>
      <c r="L18" s="133"/>
      <c r="M18" s="133"/>
      <c r="N18" s="133"/>
      <c r="O18" s="55" t="s">
        <v>60</v>
      </c>
      <c r="Q18" s="83" t="s">
        <v>61</v>
      </c>
      <c r="R18" s="81" t="s">
        <v>62</v>
      </c>
      <c r="S18" s="81" t="s">
        <v>63</v>
      </c>
      <c r="T18" s="82" t="s">
        <v>64</v>
      </c>
      <c r="V18" s="68">
        <v>0</v>
      </c>
      <c r="W18" s="69">
        <v>1</v>
      </c>
      <c r="X18" s="70">
        <v>2</v>
      </c>
      <c r="Y18" s="70">
        <v>3</v>
      </c>
      <c r="Z18" s="70">
        <v>4</v>
      </c>
      <c r="AA18" s="70">
        <v>5</v>
      </c>
      <c r="AB18" s="70">
        <v>6</v>
      </c>
      <c r="AC18" s="70">
        <v>7</v>
      </c>
      <c r="AD18" s="70">
        <v>8</v>
      </c>
      <c r="AE18" s="67">
        <v>9</v>
      </c>
      <c r="AF18" s="67">
        <v>10</v>
      </c>
      <c r="AG18" s="67">
        <v>11</v>
      </c>
      <c r="AH18" s="67">
        <v>12</v>
      </c>
      <c r="AI18" s="67">
        <v>13</v>
      </c>
      <c r="AJ18" s="67">
        <v>14</v>
      </c>
      <c r="AK18" s="67">
        <v>15</v>
      </c>
      <c r="AL18" s="67">
        <v>16</v>
      </c>
      <c r="AM18" s="67">
        <v>17</v>
      </c>
      <c r="AN18" s="67">
        <v>18</v>
      </c>
      <c r="AO18" s="67">
        <v>19</v>
      </c>
      <c r="AP18" s="67">
        <v>20</v>
      </c>
      <c r="AQ18" s="67">
        <v>21</v>
      </c>
      <c r="AR18" s="67">
        <v>22</v>
      </c>
      <c r="AS18" s="67">
        <v>23</v>
      </c>
      <c r="AT18" s="67">
        <v>24</v>
      </c>
      <c r="AU18" s="67">
        <v>25</v>
      </c>
      <c r="AV18" s="67">
        <v>26</v>
      </c>
    </row>
    <row r="19" spans="10:48">
      <c r="J19" s="52">
        <v>1</v>
      </c>
      <c r="K19" s="75" t="s">
        <v>66</v>
      </c>
      <c r="L19" s="77" t="s">
        <v>67</v>
      </c>
      <c r="M19" s="24" t="s">
        <v>68</v>
      </c>
      <c r="N19" s="24" t="s">
        <v>69</v>
      </c>
      <c r="O19" s="25">
        <v>24</v>
      </c>
      <c r="Q19" s="138" t="s">
        <v>10</v>
      </c>
      <c r="R19" s="56" t="s">
        <v>38</v>
      </c>
      <c r="S19" s="56">
        <f>O20-R17+5+4+1</f>
        <v>21</v>
      </c>
      <c r="T19" s="140" t="s">
        <v>38</v>
      </c>
      <c r="V19" s="68" t="s">
        <v>7</v>
      </c>
      <c r="W19" s="115" t="s">
        <v>40</v>
      </c>
      <c r="X19" s="134"/>
      <c r="Y19" s="134"/>
      <c r="Z19" s="122" t="s">
        <v>37</v>
      </c>
      <c r="AA19" s="134"/>
      <c r="AB19" s="134"/>
      <c r="AC19" s="134"/>
      <c r="AD19" s="135"/>
    </row>
    <row r="20" spans="10:48">
      <c r="J20" s="52">
        <v>2</v>
      </c>
      <c r="K20" s="71" t="s">
        <v>71</v>
      </c>
      <c r="L20" s="87" t="s">
        <v>72</v>
      </c>
      <c r="M20" s="24" t="s">
        <v>73</v>
      </c>
      <c r="N20" s="24" t="s">
        <v>74</v>
      </c>
      <c r="O20" s="25">
        <v>15</v>
      </c>
      <c r="Q20" s="139"/>
      <c r="R20" s="56" t="s">
        <v>40</v>
      </c>
      <c r="S20" s="56">
        <f>O22-R17+4+2+5</f>
        <v>23</v>
      </c>
      <c r="T20" s="141"/>
      <c r="V20" s="68" t="s">
        <v>10</v>
      </c>
      <c r="W20" s="122" t="s">
        <v>75</v>
      </c>
      <c r="X20" s="123"/>
      <c r="Y20" s="123"/>
      <c r="Z20" s="126"/>
      <c r="AA20" s="122" t="s">
        <v>38</v>
      </c>
      <c r="AB20" s="123"/>
      <c r="AC20" s="123"/>
      <c r="AD20" s="123"/>
      <c r="AE20" s="116"/>
    </row>
    <row r="21" spans="10:48">
      <c r="J21" s="52">
        <v>3</v>
      </c>
      <c r="K21" s="75" t="s">
        <v>77</v>
      </c>
      <c r="L21" s="24" t="s">
        <v>78</v>
      </c>
      <c r="M21" s="24" t="s">
        <v>79</v>
      </c>
      <c r="N21" s="24"/>
      <c r="O21" s="25">
        <v>26</v>
      </c>
      <c r="Q21" s="57" t="s">
        <v>14</v>
      </c>
      <c r="R21" s="56" t="s">
        <v>86</v>
      </c>
      <c r="S21" s="56"/>
      <c r="T21" s="58" t="s">
        <v>87</v>
      </c>
      <c r="V21" s="68" t="s">
        <v>12</v>
      </c>
      <c r="W21" s="125" t="s">
        <v>39</v>
      </c>
      <c r="X21" s="126"/>
      <c r="Y21" s="126"/>
      <c r="Z21" s="127"/>
      <c r="AA21" s="126"/>
      <c r="AB21" s="128"/>
    </row>
    <row r="22" spans="10:48">
      <c r="J22" s="52">
        <v>4</v>
      </c>
      <c r="K22" s="71" t="s">
        <v>81</v>
      </c>
      <c r="L22" s="87" t="s">
        <v>82</v>
      </c>
      <c r="M22" s="24" t="s">
        <v>83</v>
      </c>
      <c r="N22" s="24" t="s">
        <v>67</v>
      </c>
      <c r="O22" s="25">
        <v>16</v>
      </c>
      <c r="Q22" s="57"/>
      <c r="R22" s="56"/>
      <c r="S22" s="56"/>
      <c r="T22" s="58"/>
      <c r="V22" s="68" t="s">
        <v>14</v>
      </c>
      <c r="W22" s="125" t="s">
        <v>38</v>
      </c>
      <c r="X22" s="126"/>
      <c r="Y22" s="126"/>
      <c r="Z22" s="86"/>
      <c r="AA22" s="90"/>
      <c r="AB22" s="90"/>
    </row>
    <row r="23" spans="10:48">
      <c r="J23" s="53">
        <v>5</v>
      </c>
      <c r="K23" s="72" t="s">
        <v>82</v>
      </c>
      <c r="L23" s="32" t="s">
        <v>85</v>
      </c>
      <c r="M23" s="32" t="s">
        <v>71</v>
      </c>
      <c r="N23" s="32"/>
      <c r="O23" s="50">
        <v>20</v>
      </c>
      <c r="Q23" s="59"/>
      <c r="R23" s="60"/>
      <c r="S23" s="60"/>
      <c r="T23" s="61"/>
    </row>
    <row r="25" spans="10:48">
      <c r="Q25" s="84" t="s">
        <v>57</v>
      </c>
      <c r="R25" s="85">
        <v>6</v>
      </c>
    </row>
    <row r="26" spans="10:48">
      <c r="J26" s="51" t="s">
        <v>58</v>
      </c>
      <c r="K26" s="133" t="s">
        <v>59</v>
      </c>
      <c r="L26" s="133"/>
      <c r="M26" s="133"/>
      <c r="N26" s="133"/>
      <c r="O26" s="55" t="s">
        <v>60</v>
      </c>
      <c r="Q26" s="83" t="s">
        <v>61</v>
      </c>
      <c r="R26" s="81" t="s">
        <v>62</v>
      </c>
      <c r="S26" s="81" t="s">
        <v>63</v>
      </c>
      <c r="T26" s="82" t="s">
        <v>64</v>
      </c>
      <c r="V26" s="68">
        <v>0</v>
      </c>
      <c r="W26" s="69">
        <v>1</v>
      </c>
      <c r="X26" s="70">
        <v>2</v>
      </c>
      <c r="Y26" s="70">
        <v>3</v>
      </c>
      <c r="Z26" s="70">
        <v>4</v>
      </c>
      <c r="AA26" s="70">
        <v>5</v>
      </c>
      <c r="AB26" s="70">
        <v>6</v>
      </c>
      <c r="AC26" s="70">
        <v>7</v>
      </c>
      <c r="AD26" s="70">
        <v>8</v>
      </c>
      <c r="AE26" s="67">
        <v>9</v>
      </c>
      <c r="AF26" s="67">
        <v>10</v>
      </c>
      <c r="AG26" s="67">
        <v>11</v>
      </c>
      <c r="AH26" s="67">
        <v>12</v>
      </c>
      <c r="AI26" s="67">
        <v>13</v>
      </c>
      <c r="AJ26" s="67">
        <v>14</v>
      </c>
      <c r="AK26" s="67">
        <v>15</v>
      </c>
      <c r="AL26" s="67">
        <v>16</v>
      </c>
      <c r="AM26" s="67">
        <v>17</v>
      </c>
      <c r="AN26" s="67">
        <v>18</v>
      </c>
      <c r="AO26" s="67">
        <v>19</v>
      </c>
      <c r="AP26" s="67">
        <v>20</v>
      </c>
      <c r="AQ26" s="67">
        <v>21</v>
      </c>
      <c r="AR26" s="67">
        <v>22</v>
      </c>
      <c r="AS26" s="67">
        <v>23</v>
      </c>
      <c r="AT26" s="67">
        <v>24</v>
      </c>
      <c r="AU26" s="67">
        <v>25</v>
      </c>
      <c r="AV26" s="67">
        <v>26</v>
      </c>
    </row>
    <row r="27" spans="10:48">
      <c r="J27" s="52">
        <v>1</v>
      </c>
      <c r="K27" s="75" t="s">
        <v>66</v>
      </c>
      <c r="L27" s="77" t="s">
        <v>67</v>
      </c>
      <c r="M27" s="24" t="s">
        <v>68</v>
      </c>
      <c r="N27" s="24" t="s">
        <v>69</v>
      </c>
      <c r="O27" s="25">
        <v>24</v>
      </c>
      <c r="Q27" s="57" t="s">
        <v>12</v>
      </c>
      <c r="R27" s="56" t="s">
        <v>86</v>
      </c>
      <c r="S27" s="56"/>
      <c r="T27" s="58" t="s">
        <v>87</v>
      </c>
      <c r="V27" s="68" t="s">
        <v>7</v>
      </c>
      <c r="W27" s="115" t="s">
        <v>40</v>
      </c>
      <c r="X27" s="134"/>
      <c r="Y27" s="134"/>
      <c r="Z27" s="122" t="s">
        <v>37</v>
      </c>
      <c r="AA27" s="134"/>
      <c r="AB27" s="134"/>
      <c r="AC27" s="134"/>
      <c r="AD27" s="135"/>
    </row>
    <row r="28" spans="10:48">
      <c r="J28" s="52">
        <v>2</v>
      </c>
      <c r="K28" s="71" t="s">
        <v>71</v>
      </c>
      <c r="L28" s="75" t="s">
        <v>72</v>
      </c>
      <c r="M28" s="24" t="s">
        <v>73</v>
      </c>
      <c r="N28" s="24" t="s">
        <v>74</v>
      </c>
      <c r="O28" s="25">
        <v>15</v>
      </c>
      <c r="Q28" s="57" t="s">
        <v>14</v>
      </c>
      <c r="R28" s="56" t="s">
        <v>86</v>
      </c>
      <c r="S28" s="56"/>
      <c r="T28" s="58" t="s">
        <v>87</v>
      </c>
      <c r="V28" s="68" t="s">
        <v>10</v>
      </c>
      <c r="W28" s="122" t="s">
        <v>75</v>
      </c>
      <c r="X28" s="123"/>
      <c r="Y28" s="123"/>
      <c r="Z28" s="126"/>
      <c r="AA28" s="122" t="s">
        <v>38</v>
      </c>
      <c r="AB28" s="123"/>
      <c r="AC28" s="123"/>
      <c r="AD28" s="123"/>
      <c r="AE28" s="116"/>
    </row>
    <row r="29" spans="10:48">
      <c r="J29" s="52">
        <v>3</v>
      </c>
      <c r="K29" s="71" t="s">
        <v>77</v>
      </c>
      <c r="L29" s="24" t="s">
        <v>78</v>
      </c>
      <c r="M29" s="24" t="s">
        <v>79</v>
      </c>
      <c r="N29" s="24"/>
      <c r="O29" s="25">
        <v>26</v>
      </c>
      <c r="Q29" s="57"/>
      <c r="R29" s="56"/>
      <c r="S29" s="56"/>
      <c r="T29" s="58"/>
      <c r="V29" s="68" t="s">
        <v>12</v>
      </c>
      <c r="W29" s="125" t="s">
        <v>39</v>
      </c>
      <c r="X29" s="126"/>
      <c r="Y29" s="126"/>
      <c r="Z29" s="127"/>
      <c r="AA29" s="126"/>
      <c r="AB29" s="128"/>
      <c r="AC29" s="90"/>
      <c r="AD29" s="90"/>
    </row>
    <row r="30" spans="10:48">
      <c r="J30" s="52">
        <v>4</v>
      </c>
      <c r="K30" s="71" t="s">
        <v>81</v>
      </c>
      <c r="L30" s="77" t="s">
        <v>82</v>
      </c>
      <c r="M30" s="24" t="s">
        <v>83</v>
      </c>
      <c r="N30" s="24" t="s">
        <v>67</v>
      </c>
      <c r="O30" s="25">
        <v>16</v>
      </c>
      <c r="Q30" s="57"/>
      <c r="R30" s="56"/>
      <c r="S30" s="56"/>
      <c r="T30" s="58"/>
      <c r="V30" s="68" t="s">
        <v>14</v>
      </c>
      <c r="W30" s="125" t="s">
        <v>38</v>
      </c>
      <c r="X30" s="126"/>
      <c r="Y30" s="126"/>
      <c r="Z30" s="86"/>
      <c r="AA30" s="90"/>
      <c r="AB30" s="90"/>
      <c r="AC30" s="90"/>
      <c r="AD30" s="90"/>
    </row>
    <row r="31" spans="10:48">
      <c r="J31" s="53">
        <v>5</v>
      </c>
      <c r="K31" s="72" t="s">
        <v>82</v>
      </c>
      <c r="L31" s="32" t="s">
        <v>85</v>
      </c>
      <c r="M31" s="32" t="s">
        <v>71</v>
      </c>
      <c r="N31" s="32"/>
      <c r="O31" s="50">
        <v>20</v>
      </c>
      <c r="Q31" s="59"/>
      <c r="R31" s="60"/>
      <c r="S31" s="60"/>
      <c r="T31" s="61"/>
    </row>
    <row r="33" spans="10:48">
      <c r="Q33" s="84" t="s">
        <v>57</v>
      </c>
      <c r="R33" s="85">
        <v>8</v>
      </c>
    </row>
    <row r="34" spans="10:48">
      <c r="J34" s="51" t="s">
        <v>58</v>
      </c>
      <c r="K34" s="133" t="s">
        <v>59</v>
      </c>
      <c r="L34" s="133"/>
      <c r="M34" s="133"/>
      <c r="N34" s="133"/>
      <c r="O34" s="55" t="s">
        <v>60</v>
      </c>
      <c r="Q34" s="83" t="s">
        <v>61</v>
      </c>
      <c r="R34" s="81" t="s">
        <v>62</v>
      </c>
      <c r="S34" s="81" t="s">
        <v>63</v>
      </c>
      <c r="T34" s="82" t="s">
        <v>64</v>
      </c>
      <c r="V34" s="68">
        <v>0</v>
      </c>
      <c r="W34" s="69">
        <v>1</v>
      </c>
      <c r="X34" s="70">
        <v>2</v>
      </c>
      <c r="Y34" s="70">
        <v>3</v>
      </c>
      <c r="Z34" s="70">
        <v>4</v>
      </c>
      <c r="AA34" s="70">
        <v>5</v>
      </c>
      <c r="AB34" s="70">
        <v>6</v>
      </c>
      <c r="AC34" s="70">
        <v>7</v>
      </c>
      <c r="AD34" s="70">
        <v>8</v>
      </c>
      <c r="AE34" s="70">
        <v>9</v>
      </c>
      <c r="AF34" s="70">
        <v>10</v>
      </c>
      <c r="AG34" s="67">
        <v>11</v>
      </c>
      <c r="AH34" s="67">
        <v>12</v>
      </c>
      <c r="AI34" s="67">
        <v>13</v>
      </c>
      <c r="AJ34" s="67">
        <v>14</v>
      </c>
      <c r="AK34" s="67">
        <v>15</v>
      </c>
      <c r="AL34" s="67">
        <v>16</v>
      </c>
      <c r="AM34" s="67">
        <v>17</v>
      </c>
      <c r="AN34" s="67">
        <v>18</v>
      </c>
      <c r="AO34" s="67">
        <v>19</v>
      </c>
      <c r="AP34" s="67">
        <v>20</v>
      </c>
      <c r="AQ34" s="67">
        <v>21</v>
      </c>
      <c r="AR34" s="67">
        <v>22</v>
      </c>
      <c r="AS34" s="67">
        <v>23</v>
      </c>
      <c r="AT34" s="67">
        <v>24</v>
      </c>
      <c r="AU34" s="67">
        <v>25</v>
      </c>
      <c r="AV34" s="67">
        <v>26</v>
      </c>
    </row>
    <row r="35" spans="10:48">
      <c r="J35" s="52">
        <v>1</v>
      </c>
      <c r="K35" s="71" t="s">
        <v>66</v>
      </c>
      <c r="L35" s="77" t="s">
        <v>67</v>
      </c>
      <c r="M35" s="24" t="s">
        <v>68</v>
      </c>
      <c r="N35" s="24" t="s">
        <v>69</v>
      </c>
      <c r="O35" s="25">
        <v>24</v>
      </c>
      <c r="Q35" s="138" t="s">
        <v>7</v>
      </c>
      <c r="R35" s="92" t="s">
        <v>39</v>
      </c>
      <c r="S35" s="56">
        <f>O37-R33+3+1</f>
        <v>22</v>
      </c>
      <c r="T35" s="140" t="s">
        <v>75</v>
      </c>
      <c r="V35" s="68" t="s">
        <v>7</v>
      </c>
      <c r="W35" s="115" t="s">
        <v>40</v>
      </c>
      <c r="X35" s="134"/>
      <c r="Y35" s="134"/>
      <c r="Z35" s="122" t="s">
        <v>37</v>
      </c>
      <c r="AA35" s="123"/>
      <c r="AB35" s="123"/>
      <c r="AC35" s="123"/>
      <c r="AD35" s="116"/>
      <c r="AE35" s="121" t="s">
        <v>75</v>
      </c>
      <c r="AF35" s="119"/>
    </row>
    <row r="36" spans="10:48">
      <c r="J36" s="52">
        <v>2</v>
      </c>
      <c r="K36" s="71" t="s">
        <v>71</v>
      </c>
      <c r="L36" s="75" t="s">
        <v>72</v>
      </c>
      <c r="M36" s="24" t="s">
        <v>73</v>
      </c>
      <c r="N36" s="24" t="s">
        <v>74</v>
      </c>
      <c r="O36" s="25">
        <v>15</v>
      </c>
      <c r="Q36" s="139"/>
      <c r="R36" s="56" t="s">
        <v>75</v>
      </c>
      <c r="S36" s="91">
        <f>O39-R33+2+3</f>
        <v>17</v>
      </c>
      <c r="T36" s="141"/>
      <c r="V36" s="68" t="s">
        <v>10</v>
      </c>
      <c r="W36" s="122" t="s">
        <v>75</v>
      </c>
      <c r="X36" s="123"/>
      <c r="Y36" s="123"/>
      <c r="Z36" s="126"/>
      <c r="AA36" s="125" t="s">
        <v>38</v>
      </c>
      <c r="AB36" s="126"/>
      <c r="AC36" s="126"/>
      <c r="AD36" s="126"/>
      <c r="AE36" s="128"/>
    </row>
    <row r="37" spans="10:48">
      <c r="J37" s="52">
        <v>3</v>
      </c>
      <c r="K37" s="71" t="s">
        <v>77</v>
      </c>
      <c r="L37" s="24" t="s">
        <v>78</v>
      </c>
      <c r="M37" s="24" t="s">
        <v>79</v>
      </c>
      <c r="N37" s="24"/>
      <c r="O37" s="25">
        <v>26</v>
      </c>
      <c r="Q37" s="80" t="s">
        <v>12</v>
      </c>
      <c r="R37" s="93" t="s">
        <v>86</v>
      </c>
      <c r="S37" s="56"/>
      <c r="T37" s="58" t="s">
        <v>87</v>
      </c>
      <c r="V37" s="68" t="s">
        <v>12</v>
      </c>
      <c r="W37" s="125" t="s">
        <v>39</v>
      </c>
      <c r="X37" s="126"/>
      <c r="Y37" s="126"/>
      <c r="Z37" s="127"/>
      <c r="AA37" s="126"/>
      <c r="AB37" s="128"/>
      <c r="AC37" s="90"/>
      <c r="AD37" s="90"/>
      <c r="AE37" s="90"/>
    </row>
    <row r="38" spans="10:48">
      <c r="J38" s="52">
        <v>4</v>
      </c>
      <c r="K38" s="71" t="s">
        <v>81</v>
      </c>
      <c r="L38" s="77" t="s">
        <v>82</v>
      </c>
      <c r="M38" s="24" t="s">
        <v>83</v>
      </c>
      <c r="N38" s="24" t="s">
        <v>67</v>
      </c>
      <c r="O38" s="25">
        <v>16</v>
      </c>
      <c r="Q38" s="57" t="s">
        <v>14</v>
      </c>
      <c r="R38" s="56" t="s">
        <v>37</v>
      </c>
      <c r="S38" s="56"/>
      <c r="T38" s="58" t="s">
        <v>37</v>
      </c>
      <c r="V38" s="68" t="s">
        <v>14</v>
      </c>
      <c r="W38" s="125" t="s">
        <v>38</v>
      </c>
      <c r="X38" s="126"/>
      <c r="Y38" s="126"/>
      <c r="Z38" s="86"/>
      <c r="AA38" s="90"/>
      <c r="AB38" s="90"/>
      <c r="AC38" s="90"/>
      <c r="AD38" s="90"/>
      <c r="AE38" s="120" t="s">
        <v>37</v>
      </c>
      <c r="AF38" s="121"/>
      <c r="AG38" s="121"/>
      <c r="AH38" s="121"/>
      <c r="AI38" s="119"/>
    </row>
    <row r="39" spans="10:48">
      <c r="J39" s="53">
        <v>5</v>
      </c>
      <c r="K39" s="72" t="s">
        <v>82</v>
      </c>
      <c r="L39" s="32" t="s">
        <v>85</v>
      </c>
      <c r="M39" s="32" t="s">
        <v>71</v>
      </c>
      <c r="N39" s="32"/>
      <c r="O39" s="50">
        <v>20</v>
      </c>
      <c r="Q39" s="59"/>
      <c r="R39" s="60"/>
      <c r="S39" s="60"/>
      <c r="T39" s="61"/>
    </row>
    <row r="41" spans="10:48">
      <c r="Q41" s="84" t="s">
        <v>57</v>
      </c>
      <c r="R41" s="85">
        <v>9</v>
      </c>
    </row>
    <row r="42" spans="10:48">
      <c r="J42" s="51" t="s">
        <v>58</v>
      </c>
      <c r="K42" s="133" t="s">
        <v>59</v>
      </c>
      <c r="L42" s="133"/>
      <c r="M42" s="133"/>
      <c r="N42" s="133"/>
      <c r="O42" s="55" t="s">
        <v>60</v>
      </c>
      <c r="Q42" s="83" t="s">
        <v>61</v>
      </c>
      <c r="R42" s="81" t="s">
        <v>62</v>
      </c>
      <c r="S42" s="81" t="s">
        <v>63</v>
      </c>
      <c r="T42" s="82" t="s">
        <v>64</v>
      </c>
      <c r="V42" s="68">
        <v>0</v>
      </c>
      <c r="W42" s="69">
        <v>1</v>
      </c>
      <c r="X42" s="70">
        <v>2</v>
      </c>
      <c r="Y42" s="70">
        <v>3</v>
      </c>
      <c r="Z42" s="70">
        <v>4</v>
      </c>
      <c r="AA42" s="70">
        <v>5</v>
      </c>
      <c r="AB42" s="70">
        <v>6</v>
      </c>
      <c r="AC42" s="70">
        <v>7</v>
      </c>
      <c r="AD42" s="70">
        <v>8</v>
      </c>
      <c r="AE42" s="70">
        <v>9</v>
      </c>
      <c r="AF42" s="70">
        <v>10</v>
      </c>
      <c r="AG42" s="67">
        <v>11</v>
      </c>
      <c r="AH42" s="67">
        <v>12</v>
      </c>
      <c r="AI42" s="67">
        <v>13</v>
      </c>
      <c r="AJ42" s="67">
        <v>14</v>
      </c>
      <c r="AK42" s="67">
        <v>15</v>
      </c>
      <c r="AL42" s="67">
        <v>16</v>
      </c>
      <c r="AM42" s="67">
        <v>17</v>
      </c>
      <c r="AN42" s="67">
        <v>18</v>
      </c>
      <c r="AO42" s="67">
        <v>19</v>
      </c>
      <c r="AP42" s="67">
        <v>20</v>
      </c>
      <c r="AQ42" s="67">
        <v>21</v>
      </c>
      <c r="AR42" s="67">
        <v>22</v>
      </c>
      <c r="AS42" s="67">
        <v>23</v>
      </c>
      <c r="AT42" s="67">
        <v>24</v>
      </c>
      <c r="AU42" s="67">
        <v>25</v>
      </c>
      <c r="AV42" s="67">
        <v>26</v>
      </c>
    </row>
    <row r="43" spans="10:48">
      <c r="J43" s="52">
        <v>1</v>
      </c>
      <c r="K43" s="71" t="s">
        <v>66</v>
      </c>
      <c r="L43" s="75" t="s">
        <v>67</v>
      </c>
      <c r="M43" s="24" t="s">
        <v>68</v>
      </c>
      <c r="N43" s="24" t="s">
        <v>69</v>
      </c>
      <c r="O43" s="25">
        <v>24</v>
      </c>
      <c r="Q43" s="57" t="s">
        <v>10</v>
      </c>
      <c r="R43" s="56" t="s">
        <v>40</v>
      </c>
      <c r="S43" s="56"/>
      <c r="T43" s="58" t="s">
        <v>40</v>
      </c>
      <c r="V43" s="68" t="s">
        <v>7</v>
      </c>
      <c r="W43" s="115" t="s">
        <v>40</v>
      </c>
      <c r="X43" s="134"/>
      <c r="Y43" s="134"/>
      <c r="Z43" s="122" t="s">
        <v>37</v>
      </c>
      <c r="AA43" s="134"/>
      <c r="AB43" s="134"/>
      <c r="AC43" s="134"/>
      <c r="AD43" s="135"/>
      <c r="AE43" s="136" t="s">
        <v>75</v>
      </c>
      <c r="AF43" s="137"/>
    </row>
    <row r="44" spans="10:48">
      <c r="J44" s="52">
        <v>2</v>
      </c>
      <c r="K44" s="71" t="s">
        <v>71</v>
      </c>
      <c r="L44" s="71" t="s">
        <v>72</v>
      </c>
      <c r="M44" s="24" t="s">
        <v>73</v>
      </c>
      <c r="N44" s="24" t="s">
        <v>74</v>
      </c>
      <c r="O44" s="25">
        <v>15</v>
      </c>
      <c r="Q44" s="57" t="s">
        <v>12</v>
      </c>
      <c r="R44" s="56" t="s">
        <v>86</v>
      </c>
      <c r="S44" s="56"/>
      <c r="T44" s="58" t="s">
        <v>87</v>
      </c>
      <c r="V44" s="68" t="s">
        <v>10</v>
      </c>
      <c r="W44" s="122" t="s">
        <v>75</v>
      </c>
      <c r="X44" s="123"/>
      <c r="Y44" s="123"/>
      <c r="Z44" s="126"/>
      <c r="AA44" s="122" t="s">
        <v>38</v>
      </c>
      <c r="AB44" s="123"/>
      <c r="AC44" s="123"/>
      <c r="AD44" s="123"/>
      <c r="AE44" s="116"/>
      <c r="AF44" s="121" t="s">
        <v>40</v>
      </c>
      <c r="AG44" s="121"/>
      <c r="AH44" s="121"/>
      <c r="AI44" s="119"/>
    </row>
    <row r="45" spans="10:48">
      <c r="J45" s="52">
        <v>3</v>
      </c>
      <c r="K45" s="71" t="s">
        <v>77</v>
      </c>
      <c r="L45" s="24" t="s">
        <v>78</v>
      </c>
      <c r="M45" s="24" t="s">
        <v>79</v>
      </c>
      <c r="N45" s="24"/>
      <c r="O45" s="25">
        <v>26</v>
      </c>
      <c r="Q45" s="57"/>
      <c r="R45" s="56"/>
      <c r="S45" s="56"/>
      <c r="T45" s="58"/>
      <c r="V45" s="68" t="s">
        <v>12</v>
      </c>
      <c r="W45" s="125" t="s">
        <v>39</v>
      </c>
      <c r="X45" s="126"/>
      <c r="Y45" s="126"/>
      <c r="Z45" s="127"/>
      <c r="AA45" s="126"/>
      <c r="AB45" s="128"/>
      <c r="AC45" s="90"/>
      <c r="AD45" s="90"/>
      <c r="AE45" s="90"/>
      <c r="AF45" s="90"/>
    </row>
    <row r="46" spans="10:48">
      <c r="J46" s="52">
        <v>4</v>
      </c>
      <c r="K46" s="71" t="s">
        <v>81</v>
      </c>
      <c r="L46" s="77" t="s">
        <v>82</v>
      </c>
      <c r="M46" s="24" t="s">
        <v>83</v>
      </c>
      <c r="N46" s="24" t="s">
        <v>67</v>
      </c>
      <c r="O46" s="25">
        <v>16</v>
      </c>
      <c r="Q46" s="57"/>
      <c r="R46" s="56"/>
      <c r="S46" s="56"/>
      <c r="T46" s="58"/>
      <c r="V46" s="68" t="s">
        <v>14</v>
      </c>
      <c r="W46" s="125" t="s">
        <v>38</v>
      </c>
      <c r="X46" s="126"/>
      <c r="Y46" s="126"/>
      <c r="Z46" s="86"/>
      <c r="AA46" s="90"/>
      <c r="AB46" s="90"/>
      <c r="AC46" s="90"/>
      <c r="AD46" s="90"/>
      <c r="AE46" s="120" t="s">
        <v>37</v>
      </c>
      <c r="AF46" s="121"/>
      <c r="AG46" s="121"/>
      <c r="AH46" s="121"/>
      <c r="AI46" s="119"/>
    </row>
    <row r="47" spans="10:48">
      <c r="J47" s="53">
        <v>5</v>
      </c>
      <c r="K47" s="72" t="s">
        <v>82</v>
      </c>
      <c r="L47" s="76" t="s">
        <v>85</v>
      </c>
      <c r="M47" s="32" t="s">
        <v>71</v>
      </c>
      <c r="N47" s="32"/>
      <c r="O47" s="50">
        <v>20</v>
      </c>
      <c r="Q47" s="59"/>
      <c r="R47" s="60"/>
      <c r="S47" s="60"/>
      <c r="T47" s="61"/>
    </row>
    <row r="49" spans="10:53">
      <c r="Q49" s="84" t="s">
        <v>57</v>
      </c>
      <c r="R49" s="85">
        <v>10</v>
      </c>
    </row>
    <row r="50" spans="10:53">
      <c r="J50" s="51" t="s">
        <v>58</v>
      </c>
      <c r="K50" s="133" t="s">
        <v>59</v>
      </c>
      <c r="L50" s="133"/>
      <c r="M50" s="133"/>
      <c r="N50" s="133"/>
      <c r="O50" s="55" t="s">
        <v>60</v>
      </c>
      <c r="Q50" s="83" t="s">
        <v>61</v>
      </c>
      <c r="R50" s="81" t="s">
        <v>62</v>
      </c>
      <c r="S50" s="81" t="s">
        <v>63</v>
      </c>
      <c r="T50" s="82" t="s">
        <v>64</v>
      </c>
      <c r="V50" s="68">
        <v>0</v>
      </c>
      <c r="W50" s="69">
        <v>1</v>
      </c>
      <c r="X50" s="70">
        <v>2</v>
      </c>
      <c r="Y50" s="70">
        <v>3</v>
      </c>
      <c r="Z50" s="70">
        <v>4</v>
      </c>
      <c r="AA50" s="70">
        <v>5</v>
      </c>
      <c r="AB50" s="70">
        <v>6</v>
      </c>
      <c r="AC50" s="70">
        <v>7</v>
      </c>
      <c r="AD50" s="70">
        <v>8</v>
      </c>
      <c r="AE50" s="70">
        <v>9</v>
      </c>
      <c r="AF50" s="70">
        <v>10</v>
      </c>
      <c r="AG50" s="70">
        <v>11</v>
      </c>
      <c r="AH50" s="70">
        <v>12</v>
      </c>
      <c r="AI50" s="70">
        <v>13</v>
      </c>
      <c r="AJ50" s="70">
        <v>14</v>
      </c>
      <c r="AK50" s="70">
        <v>15</v>
      </c>
      <c r="AL50" s="70">
        <v>16</v>
      </c>
      <c r="AM50" s="70">
        <v>17</v>
      </c>
      <c r="AN50" s="67">
        <v>18</v>
      </c>
      <c r="AO50" s="67">
        <v>19</v>
      </c>
      <c r="AP50" s="67">
        <v>20</v>
      </c>
      <c r="AQ50" s="67">
        <v>21</v>
      </c>
      <c r="AR50" s="67">
        <v>22</v>
      </c>
      <c r="AS50" s="67">
        <v>23</v>
      </c>
      <c r="AT50" s="67">
        <v>24</v>
      </c>
      <c r="AU50" s="67">
        <v>25</v>
      </c>
      <c r="AV50" s="67">
        <v>26</v>
      </c>
    </row>
    <row r="51" spans="10:53">
      <c r="J51" s="52">
        <v>1</v>
      </c>
      <c r="K51" s="71" t="s">
        <v>66</v>
      </c>
      <c r="L51" s="75" t="s">
        <v>67</v>
      </c>
      <c r="M51" s="24" t="s">
        <v>68</v>
      </c>
      <c r="N51" s="24" t="s">
        <v>69</v>
      </c>
      <c r="O51" s="25">
        <v>24</v>
      </c>
      <c r="Q51" s="57" t="s">
        <v>7</v>
      </c>
      <c r="R51" s="56" t="s">
        <v>39</v>
      </c>
      <c r="S51" s="56">
        <f>O53-R49+3+1</f>
        <v>20</v>
      </c>
      <c r="T51" s="58" t="s">
        <v>38</v>
      </c>
      <c r="V51" s="68" t="s">
        <v>7</v>
      </c>
      <c r="W51" s="115" t="s">
        <v>40</v>
      </c>
      <c r="X51" s="134"/>
      <c r="Y51" s="134"/>
      <c r="Z51" s="122" t="s">
        <v>37</v>
      </c>
      <c r="AA51" s="134"/>
      <c r="AB51" s="134"/>
      <c r="AC51" s="134"/>
      <c r="AD51" s="135"/>
      <c r="AE51" s="136" t="s">
        <v>75</v>
      </c>
      <c r="AF51" s="136"/>
      <c r="AG51" s="120" t="s">
        <v>38</v>
      </c>
      <c r="AH51" s="121"/>
      <c r="AI51" s="121"/>
      <c r="AJ51" s="121"/>
      <c r="AK51" s="120" t="s">
        <v>39</v>
      </c>
      <c r="AL51" s="121"/>
      <c r="AM51" s="119"/>
    </row>
    <row r="52" spans="10:53">
      <c r="J52" s="52">
        <v>2</v>
      </c>
      <c r="K52" s="71" t="s">
        <v>71</v>
      </c>
      <c r="L52" s="71" t="s">
        <v>72</v>
      </c>
      <c r="M52" s="24" t="s">
        <v>73</v>
      </c>
      <c r="N52" s="24" t="s">
        <v>74</v>
      </c>
      <c r="O52" s="25">
        <v>15</v>
      </c>
      <c r="Q52" s="57"/>
      <c r="R52" s="56" t="s">
        <v>38</v>
      </c>
      <c r="S52" s="56">
        <f>O52-R49+4+1</f>
        <v>10</v>
      </c>
      <c r="T52" s="58"/>
      <c r="V52" s="68" t="s">
        <v>10</v>
      </c>
      <c r="W52" s="122" t="s">
        <v>75</v>
      </c>
      <c r="X52" s="123"/>
      <c r="Y52" s="123"/>
      <c r="Z52" s="126"/>
      <c r="AA52" s="122" t="s">
        <v>38</v>
      </c>
      <c r="AB52" s="123"/>
      <c r="AC52" s="123"/>
      <c r="AD52" s="123"/>
      <c r="AE52" s="116"/>
      <c r="AF52" s="121" t="s">
        <v>40</v>
      </c>
      <c r="AG52" s="118"/>
      <c r="AH52" s="118"/>
      <c r="AI52" s="124"/>
    </row>
    <row r="53" spans="10:53">
      <c r="J53" s="52">
        <v>3</v>
      </c>
      <c r="K53" s="71" t="s">
        <v>77</v>
      </c>
      <c r="L53" s="24" t="s">
        <v>78</v>
      </c>
      <c r="M53" s="24" t="s">
        <v>79</v>
      </c>
      <c r="N53" s="24"/>
      <c r="O53" s="25">
        <v>26</v>
      </c>
      <c r="Q53" s="57"/>
      <c r="R53" s="56"/>
      <c r="S53" s="56"/>
      <c r="T53" s="58"/>
      <c r="V53" s="68" t="s">
        <v>12</v>
      </c>
      <c r="W53" s="125" t="s">
        <v>39</v>
      </c>
      <c r="X53" s="126"/>
      <c r="Y53" s="126"/>
      <c r="Z53" s="127"/>
      <c r="AA53" s="126"/>
      <c r="AB53" s="128"/>
      <c r="AC53" s="90"/>
      <c r="AD53" s="90"/>
      <c r="AE53" s="90"/>
      <c r="AF53" s="90"/>
      <c r="AG53" s="90"/>
      <c r="AH53" s="90"/>
      <c r="AI53" s="90"/>
    </row>
    <row r="54" spans="10:53">
      <c r="J54" s="52">
        <v>4</v>
      </c>
      <c r="K54" s="71" t="s">
        <v>81</v>
      </c>
      <c r="L54" s="75" t="s">
        <v>82</v>
      </c>
      <c r="M54" s="24" t="s">
        <v>83</v>
      </c>
      <c r="N54" s="24" t="s">
        <v>67</v>
      </c>
      <c r="O54" s="25">
        <v>16</v>
      </c>
      <c r="Q54" s="57"/>
      <c r="R54" s="56"/>
      <c r="S54" s="56"/>
      <c r="T54" s="58"/>
      <c r="V54" s="68" t="s">
        <v>14</v>
      </c>
      <c r="W54" s="125" t="s">
        <v>38</v>
      </c>
      <c r="X54" s="126"/>
      <c r="Y54" s="126"/>
      <c r="Z54" s="86"/>
      <c r="AA54" s="90"/>
      <c r="AB54" s="90"/>
      <c r="AC54" s="90"/>
      <c r="AD54" s="90"/>
      <c r="AE54" s="120" t="s">
        <v>37</v>
      </c>
      <c r="AF54" s="121"/>
      <c r="AG54" s="121"/>
      <c r="AH54" s="121"/>
      <c r="AI54" s="119"/>
    </row>
    <row r="55" spans="10:53">
      <c r="J55" s="53">
        <v>5</v>
      </c>
      <c r="K55" s="72" t="s">
        <v>82</v>
      </c>
      <c r="L55" s="72" t="s">
        <v>85</v>
      </c>
      <c r="M55" s="32" t="s">
        <v>71</v>
      </c>
      <c r="N55" s="32"/>
      <c r="O55" s="50">
        <v>20</v>
      </c>
      <c r="Q55" s="59"/>
      <c r="R55" s="60"/>
      <c r="S55" s="60"/>
      <c r="T55" s="61"/>
    </row>
    <row r="57" spans="10:53">
      <c r="Q57" s="84" t="s">
        <v>57</v>
      </c>
      <c r="R57" s="85">
        <v>13</v>
      </c>
    </row>
    <row r="58" spans="10:53">
      <c r="J58" s="51" t="s">
        <v>58</v>
      </c>
      <c r="K58" s="133" t="s">
        <v>59</v>
      </c>
      <c r="L58" s="133"/>
      <c r="M58" s="133"/>
      <c r="N58" s="133"/>
      <c r="O58" s="55" t="s">
        <v>60</v>
      </c>
      <c r="Q58" s="83" t="s">
        <v>61</v>
      </c>
      <c r="R58" s="81" t="s">
        <v>62</v>
      </c>
      <c r="S58" s="81" t="s">
        <v>63</v>
      </c>
      <c r="T58" s="82" t="s">
        <v>64</v>
      </c>
      <c r="V58" s="68">
        <v>0</v>
      </c>
      <c r="W58" s="69">
        <v>1</v>
      </c>
      <c r="X58" s="70">
        <v>2</v>
      </c>
      <c r="Y58" s="70">
        <v>3</v>
      </c>
      <c r="Z58" s="70">
        <v>4</v>
      </c>
      <c r="AA58" s="70">
        <v>5</v>
      </c>
      <c r="AB58" s="70">
        <v>6</v>
      </c>
      <c r="AC58" s="70">
        <v>7</v>
      </c>
      <c r="AD58" s="70">
        <v>8</v>
      </c>
      <c r="AE58" s="70">
        <v>9</v>
      </c>
      <c r="AF58" s="70">
        <v>10</v>
      </c>
      <c r="AG58" s="70">
        <v>11</v>
      </c>
      <c r="AH58" s="70">
        <v>12</v>
      </c>
      <c r="AI58" s="70">
        <v>13</v>
      </c>
      <c r="AJ58" s="70">
        <v>14</v>
      </c>
      <c r="AK58" s="70">
        <v>15</v>
      </c>
      <c r="AL58" s="70">
        <v>16</v>
      </c>
      <c r="AM58" s="70">
        <v>17</v>
      </c>
      <c r="AN58" s="67">
        <v>18</v>
      </c>
      <c r="AO58" s="67">
        <v>19</v>
      </c>
      <c r="AP58" s="67">
        <v>20</v>
      </c>
      <c r="AQ58" s="67">
        <v>21</v>
      </c>
      <c r="AR58" s="67">
        <v>22</v>
      </c>
      <c r="AS58" s="67">
        <v>23</v>
      </c>
      <c r="AT58" s="67">
        <v>24</v>
      </c>
      <c r="AU58" s="67">
        <v>25</v>
      </c>
      <c r="AV58" s="67">
        <v>26</v>
      </c>
      <c r="AX58" s="94" t="s">
        <v>58</v>
      </c>
      <c r="AY58" s="95" t="s">
        <v>88</v>
      </c>
      <c r="AZ58" s="95" t="s">
        <v>60</v>
      </c>
      <c r="BA58" s="96" t="s">
        <v>89</v>
      </c>
    </row>
    <row r="59" spans="10:53">
      <c r="J59" s="52">
        <v>1</v>
      </c>
      <c r="K59" s="71" t="s">
        <v>66</v>
      </c>
      <c r="L59" s="71" t="s">
        <v>67</v>
      </c>
      <c r="M59" s="71" t="s">
        <v>68</v>
      </c>
      <c r="N59" s="71" t="s">
        <v>69</v>
      </c>
      <c r="O59" s="25">
        <v>24</v>
      </c>
      <c r="Q59" s="129" t="s">
        <v>12</v>
      </c>
      <c r="R59" s="56" t="s">
        <v>37</v>
      </c>
      <c r="S59" s="56">
        <f>O59-R57+4+2</f>
        <v>17</v>
      </c>
      <c r="T59" s="131" t="s">
        <v>40</v>
      </c>
      <c r="V59" s="68" t="s">
        <v>7</v>
      </c>
      <c r="W59" s="115" t="s">
        <v>40</v>
      </c>
      <c r="X59" s="134"/>
      <c r="Y59" s="134"/>
      <c r="Z59" s="122" t="s">
        <v>37</v>
      </c>
      <c r="AA59" s="134"/>
      <c r="AB59" s="134"/>
      <c r="AC59" s="134"/>
      <c r="AD59" s="135"/>
      <c r="AE59" s="136" t="s">
        <v>75</v>
      </c>
      <c r="AF59" s="136"/>
      <c r="AG59" s="120" t="s">
        <v>38</v>
      </c>
      <c r="AH59" s="121"/>
      <c r="AI59" s="121"/>
      <c r="AJ59" s="121"/>
      <c r="AK59" s="122" t="s">
        <v>39</v>
      </c>
      <c r="AL59" s="123"/>
      <c r="AM59" s="116"/>
      <c r="AN59" s="90"/>
      <c r="AO59" s="90"/>
      <c r="AP59" s="90"/>
      <c r="AQ59" s="90"/>
      <c r="AR59" s="90"/>
      <c r="AS59" s="90"/>
      <c r="AT59" s="90"/>
      <c r="AU59" s="90"/>
      <c r="AV59" s="90"/>
      <c r="AX59" s="57">
        <v>1</v>
      </c>
      <c r="AY59" s="56">
        <v>22</v>
      </c>
      <c r="AZ59" s="25">
        <v>24</v>
      </c>
      <c r="BA59" s="58">
        <f>AY59-AZ59</f>
        <v>-2</v>
      </c>
    </row>
    <row r="60" spans="10:53">
      <c r="J60" s="52">
        <v>2</v>
      </c>
      <c r="K60" s="71" t="s">
        <v>71</v>
      </c>
      <c r="L60" s="71" t="s">
        <v>72</v>
      </c>
      <c r="M60" s="71" t="s">
        <v>73</v>
      </c>
      <c r="N60" s="71" t="s">
        <v>74</v>
      </c>
      <c r="O60" s="25">
        <v>15</v>
      </c>
      <c r="Q60" s="130"/>
      <c r="R60" s="56" t="s">
        <v>40</v>
      </c>
      <c r="S60" s="56">
        <f>O62-R57+2+5</f>
        <v>10</v>
      </c>
      <c r="T60" s="132"/>
      <c r="V60" s="68" t="s">
        <v>10</v>
      </c>
      <c r="W60" s="122" t="s">
        <v>75</v>
      </c>
      <c r="X60" s="123"/>
      <c r="Y60" s="123"/>
      <c r="Z60" s="126"/>
      <c r="AA60" s="122" t="s">
        <v>38</v>
      </c>
      <c r="AB60" s="123"/>
      <c r="AC60" s="123"/>
      <c r="AD60" s="123"/>
      <c r="AE60" s="116"/>
      <c r="AF60" s="121" t="s">
        <v>40</v>
      </c>
      <c r="AG60" s="118"/>
      <c r="AH60" s="118"/>
      <c r="AI60" s="118"/>
      <c r="AJ60" s="90"/>
      <c r="AK60" s="97"/>
      <c r="AL60" s="97"/>
      <c r="AM60" s="97"/>
      <c r="AN60" s="99" t="s">
        <v>39</v>
      </c>
      <c r="AO60" s="66"/>
      <c r="AQ60" s="115" t="s">
        <v>37</v>
      </c>
      <c r="AR60" s="116"/>
      <c r="AS60" s="66"/>
      <c r="AT60" s="66"/>
      <c r="AU60" s="66"/>
      <c r="AV60" s="66"/>
      <c r="AX60" s="57">
        <v>2</v>
      </c>
      <c r="AY60" s="56">
        <v>16</v>
      </c>
      <c r="AZ60" s="25">
        <v>15</v>
      </c>
      <c r="BA60" s="58">
        <f t="shared" ref="BA60:BA63" si="1">AY60-AZ60</f>
        <v>1</v>
      </c>
    </row>
    <row r="61" spans="10:53">
      <c r="J61" s="52">
        <v>3</v>
      </c>
      <c r="K61" s="71" t="s">
        <v>77</v>
      </c>
      <c r="L61" s="71" t="s">
        <v>78</v>
      </c>
      <c r="M61" s="71" t="s">
        <v>79</v>
      </c>
      <c r="N61" s="24"/>
      <c r="O61" s="25">
        <v>26</v>
      </c>
      <c r="Q61" s="57" t="s">
        <v>10</v>
      </c>
      <c r="R61" s="93" t="s">
        <v>39</v>
      </c>
      <c r="S61" s="93"/>
      <c r="T61" s="58" t="s">
        <v>39</v>
      </c>
      <c r="V61" s="68" t="s">
        <v>12</v>
      </c>
      <c r="W61" s="125" t="s">
        <v>39</v>
      </c>
      <c r="X61" s="126"/>
      <c r="Y61" s="126"/>
      <c r="Z61" s="127"/>
      <c r="AA61" s="126"/>
      <c r="AB61" s="128"/>
      <c r="AC61" s="90"/>
      <c r="AD61" s="90"/>
      <c r="AE61" s="90"/>
      <c r="AF61" s="90"/>
      <c r="AG61" s="90"/>
      <c r="AH61" s="90"/>
      <c r="AI61" s="90"/>
      <c r="AJ61" s="117" t="s">
        <v>40</v>
      </c>
      <c r="AK61" s="124"/>
      <c r="AL61" s="98" t="s">
        <v>38</v>
      </c>
      <c r="AM61" s="120" t="s">
        <v>37</v>
      </c>
      <c r="AN61" s="121"/>
      <c r="AO61" s="121"/>
      <c r="AP61" s="119"/>
      <c r="AU61" s="66"/>
      <c r="AV61" s="66"/>
      <c r="AX61" s="57">
        <v>3</v>
      </c>
      <c r="AY61" s="56">
        <v>18</v>
      </c>
      <c r="AZ61" s="25">
        <v>26</v>
      </c>
      <c r="BA61" s="58">
        <f t="shared" si="1"/>
        <v>-8</v>
      </c>
    </row>
    <row r="62" spans="10:53">
      <c r="J62" s="52">
        <v>4</v>
      </c>
      <c r="K62" s="71" t="s">
        <v>81</v>
      </c>
      <c r="L62" s="71" t="s">
        <v>82</v>
      </c>
      <c r="M62" s="71" t="s">
        <v>83</v>
      </c>
      <c r="N62" s="24" t="s">
        <v>67</v>
      </c>
      <c r="O62" s="25">
        <v>16</v>
      </c>
      <c r="Q62" s="57" t="s">
        <v>7</v>
      </c>
      <c r="R62" s="56" t="s">
        <v>38</v>
      </c>
      <c r="S62" s="56"/>
      <c r="T62" s="58" t="s">
        <v>38</v>
      </c>
      <c r="V62" s="68" t="s">
        <v>14</v>
      </c>
      <c r="W62" s="125" t="s">
        <v>38</v>
      </c>
      <c r="X62" s="126"/>
      <c r="Y62" s="126"/>
      <c r="Z62" s="86"/>
      <c r="AA62" s="90"/>
      <c r="AB62" s="90"/>
      <c r="AC62" s="90"/>
      <c r="AD62" s="90"/>
      <c r="AE62" s="120" t="s">
        <v>37</v>
      </c>
      <c r="AF62" s="121"/>
      <c r="AG62" s="121"/>
      <c r="AH62" s="121"/>
      <c r="AI62" s="121"/>
      <c r="AJ62" s="120" t="s">
        <v>75</v>
      </c>
      <c r="AK62" s="121"/>
      <c r="AL62" s="118"/>
      <c r="AM62" s="117" t="s">
        <v>40</v>
      </c>
      <c r="AN62" s="118"/>
      <c r="AO62" s="118"/>
      <c r="AP62" s="118"/>
      <c r="AQ62" s="119"/>
      <c r="AR62" s="66"/>
      <c r="AU62" s="66"/>
      <c r="AV62" s="66"/>
      <c r="AX62" s="57">
        <v>4</v>
      </c>
      <c r="AY62" s="56">
        <v>21</v>
      </c>
      <c r="AZ62" s="25">
        <v>16</v>
      </c>
      <c r="BA62" s="58">
        <f t="shared" si="1"/>
        <v>5</v>
      </c>
    </row>
    <row r="63" spans="10:53">
      <c r="J63" s="53">
        <v>5</v>
      </c>
      <c r="K63" s="72" t="s">
        <v>82</v>
      </c>
      <c r="L63" s="72" t="s">
        <v>85</v>
      </c>
      <c r="M63" s="72" t="s">
        <v>71</v>
      </c>
      <c r="N63" s="32"/>
      <c r="O63" s="50">
        <v>20</v>
      </c>
      <c r="Q63" s="59" t="s">
        <v>14</v>
      </c>
      <c r="R63" s="60" t="s">
        <v>75</v>
      </c>
      <c r="S63" s="60"/>
      <c r="T63" s="61" t="s">
        <v>75</v>
      </c>
      <c r="AX63" s="59">
        <v>5</v>
      </c>
      <c r="AY63" s="60">
        <v>16</v>
      </c>
      <c r="AZ63" s="50">
        <v>20</v>
      </c>
      <c r="BA63" s="61">
        <f t="shared" si="1"/>
        <v>-4</v>
      </c>
    </row>
  </sheetData>
  <mergeCells count="81">
    <mergeCell ref="W6:Y6"/>
    <mergeCell ref="K10:N10"/>
    <mergeCell ref="W11:Y11"/>
    <mergeCell ref="W12:Z12"/>
    <mergeCell ref="K2:N2"/>
    <mergeCell ref="Q3:Q4"/>
    <mergeCell ref="T3:T4"/>
    <mergeCell ref="W3:Y3"/>
    <mergeCell ref="W4:Z4"/>
    <mergeCell ref="W5:AB5"/>
    <mergeCell ref="W13:AB13"/>
    <mergeCell ref="W14:Y14"/>
    <mergeCell ref="Z11:AD11"/>
    <mergeCell ref="K18:N18"/>
    <mergeCell ref="Q19:Q20"/>
    <mergeCell ref="W19:Y19"/>
    <mergeCell ref="Z19:AD19"/>
    <mergeCell ref="W20:Z20"/>
    <mergeCell ref="T19:T20"/>
    <mergeCell ref="AA20:AE20"/>
    <mergeCell ref="K26:N26"/>
    <mergeCell ref="W27:Y27"/>
    <mergeCell ref="Z27:AD27"/>
    <mergeCell ref="AA28:AE28"/>
    <mergeCell ref="W29:AB29"/>
    <mergeCell ref="W30:Y30"/>
    <mergeCell ref="W21:AB21"/>
    <mergeCell ref="W22:Y22"/>
    <mergeCell ref="W28:Z28"/>
    <mergeCell ref="K42:N42"/>
    <mergeCell ref="K34:N34"/>
    <mergeCell ref="W35:Y35"/>
    <mergeCell ref="Z35:AD35"/>
    <mergeCell ref="W36:Z36"/>
    <mergeCell ref="AA36:AE36"/>
    <mergeCell ref="W37:AB37"/>
    <mergeCell ref="W38:Y38"/>
    <mergeCell ref="Q35:Q36"/>
    <mergeCell ref="T35:T36"/>
    <mergeCell ref="AE35:AF35"/>
    <mergeCell ref="AE38:AI38"/>
    <mergeCell ref="W51:Y51"/>
    <mergeCell ref="Z51:AD51"/>
    <mergeCell ref="AE51:AF51"/>
    <mergeCell ref="W43:Y43"/>
    <mergeCell ref="Z43:AD43"/>
    <mergeCell ref="AE43:AF43"/>
    <mergeCell ref="W44:Z44"/>
    <mergeCell ref="AA44:AE44"/>
    <mergeCell ref="W45:AB45"/>
    <mergeCell ref="W46:Y46"/>
    <mergeCell ref="AE46:AI46"/>
    <mergeCell ref="AF44:AI44"/>
    <mergeCell ref="K50:N50"/>
    <mergeCell ref="W52:Z52"/>
    <mergeCell ref="AA52:AE52"/>
    <mergeCell ref="AF52:AI52"/>
    <mergeCell ref="W53:AB53"/>
    <mergeCell ref="W54:Y54"/>
    <mergeCell ref="AE54:AI54"/>
    <mergeCell ref="K58:N58"/>
    <mergeCell ref="W59:Y59"/>
    <mergeCell ref="Z59:AD59"/>
    <mergeCell ref="AE59:AF59"/>
    <mergeCell ref="W60:Z60"/>
    <mergeCell ref="AA60:AE60"/>
    <mergeCell ref="AF60:AI60"/>
    <mergeCell ref="W61:AB61"/>
    <mergeCell ref="W62:Y62"/>
    <mergeCell ref="AE62:AI62"/>
    <mergeCell ref="Q59:Q60"/>
    <mergeCell ref="T59:T60"/>
    <mergeCell ref="AQ60:AR60"/>
    <mergeCell ref="AM62:AQ62"/>
    <mergeCell ref="AG51:AJ51"/>
    <mergeCell ref="AK51:AM51"/>
    <mergeCell ref="AG59:AJ59"/>
    <mergeCell ref="AK59:AM59"/>
    <mergeCell ref="AJ61:AK61"/>
    <mergeCell ref="AM61:AP61"/>
    <mergeCell ref="AJ62:AL62"/>
  </mergeCells>
  <conditionalFormatting sqref="BA59:BA63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C5CA-5F7A-443B-88DF-953C8D6A71FB}">
  <dimension ref="A4:G42"/>
  <sheetViews>
    <sheetView tabSelected="1" topLeftCell="A14" workbookViewId="0">
      <selection activeCell="F31" sqref="F31"/>
    </sheetView>
  </sheetViews>
  <sheetFormatPr defaultRowHeight="15"/>
  <cols>
    <col min="1" max="1" width="36" customWidth="1"/>
    <col min="3" max="3" width="13.28515625" customWidth="1"/>
  </cols>
  <sheetData>
    <row r="4" spans="1:3">
      <c r="A4" s="143" t="s">
        <v>90</v>
      </c>
      <c r="B4" s="144"/>
      <c r="C4" s="145"/>
    </row>
    <row r="5" spans="1:3">
      <c r="A5" s="146" t="s">
        <v>91</v>
      </c>
      <c r="B5" s="56">
        <v>70</v>
      </c>
      <c r="C5" s="147" t="s">
        <v>92</v>
      </c>
    </row>
    <row r="6" spans="1:3">
      <c r="A6" s="146" t="s">
        <v>93</v>
      </c>
      <c r="B6" s="56">
        <v>5</v>
      </c>
      <c r="C6" s="147" t="s">
        <v>94</v>
      </c>
    </row>
    <row r="7" spans="1:3">
      <c r="A7" s="146" t="s">
        <v>95</v>
      </c>
      <c r="B7" s="56">
        <v>10</v>
      </c>
      <c r="C7" s="147" t="s">
        <v>94</v>
      </c>
    </row>
    <row r="8" spans="1:3">
      <c r="A8" s="146" t="s">
        <v>96</v>
      </c>
      <c r="B8" s="56">
        <v>50</v>
      </c>
      <c r="C8" s="147" t="s">
        <v>97</v>
      </c>
    </row>
    <row r="9" spans="1:3">
      <c r="A9" s="146" t="s">
        <v>98</v>
      </c>
      <c r="B9" s="56">
        <v>100</v>
      </c>
      <c r="C9" s="147" t="s">
        <v>97</v>
      </c>
    </row>
    <row r="10" spans="1:3">
      <c r="A10" s="146" t="s">
        <v>99</v>
      </c>
      <c r="B10" s="56">
        <v>160</v>
      </c>
      <c r="C10" s="147" t="s">
        <v>92</v>
      </c>
    </row>
    <row r="11" spans="1:3">
      <c r="A11" s="146" t="s">
        <v>100</v>
      </c>
      <c r="B11" s="56">
        <v>3</v>
      </c>
      <c r="C11" s="147" t="s">
        <v>101</v>
      </c>
    </row>
    <row r="12" spans="1:3">
      <c r="A12" s="146" t="s">
        <v>102</v>
      </c>
      <c r="B12" s="56">
        <v>13</v>
      </c>
      <c r="C12" s="147" t="s">
        <v>103</v>
      </c>
    </row>
    <row r="13" spans="1:3">
      <c r="A13" s="146" t="s">
        <v>104</v>
      </c>
      <c r="B13" s="56">
        <v>200</v>
      </c>
      <c r="C13" s="147" t="s">
        <v>105</v>
      </c>
    </row>
    <row r="14" spans="1:3">
      <c r="A14" s="146" t="s">
        <v>106</v>
      </c>
      <c r="B14" s="56">
        <v>16</v>
      </c>
      <c r="C14" s="147" t="s">
        <v>103</v>
      </c>
    </row>
    <row r="15" spans="1:3">
      <c r="A15" s="146" t="s">
        <v>107</v>
      </c>
      <c r="B15" s="56">
        <v>180</v>
      </c>
      <c r="C15" s="147" t="s">
        <v>92</v>
      </c>
    </row>
    <row r="16" spans="1:3">
      <c r="A16" s="155" t="s">
        <v>108</v>
      </c>
      <c r="B16" s="92">
        <v>9</v>
      </c>
      <c r="C16" s="156" t="s">
        <v>109</v>
      </c>
    </row>
    <row r="17" spans="1:7">
      <c r="A17" s="148" t="s">
        <v>110</v>
      </c>
      <c r="B17" s="32">
        <v>7</v>
      </c>
      <c r="C17" s="149" t="s">
        <v>111</v>
      </c>
    </row>
    <row r="20" spans="1:7">
      <c r="A20" s="51"/>
      <c r="B20" s="54" t="s">
        <v>112</v>
      </c>
      <c r="C20" s="54" t="s">
        <v>113</v>
      </c>
      <c r="D20" s="54" t="s">
        <v>114</v>
      </c>
      <c r="E20" s="54" t="s">
        <v>115</v>
      </c>
      <c r="F20" s="54" t="s">
        <v>116</v>
      </c>
      <c r="G20" s="55" t="s">
        <v>117</v>
      </c>
    </row>
    <row r="21" spans="1:7">
      <c r="A21" s="153" t="s">
        <v>118</v>
      </c>
      <c r="B21" s="31">
        <v>22</v>
      </c>
      <c r="C21" s="31">
        <v>19</v>
      </c>
      <c r="D21" s="31">
        <v>21</v>
      </c>
      <c r="E21" s="31">
        <v>21</v>
      </c>
      <c r="F21" s="31">
        <v>22</v>
      </c>
      <c r="G21" s="152">
        <v>20</v>
      </c>
    </row>
    <row r="22" spans="1:7">
      <c r="A22" s="153" t="s">
        <v>119</v>
      </c>
      <c r="B22" s="31">
        <v>500</v>
      </c>
      <c r="C22" s="31">
        <v>650</v>
      </c>
      <c r="D22" s="31">
        <v>450</v>
      </c>
      <c r="E22" s="31">
        <v>400</v>
      </c>
      <c r="F22" s="31">
        <v>475</v>
      </c>
      <c r="G22" s="152">
        <v>300</v>
      </c>
    </row>
    <row r="23" spans="1:7">
      <c r="A23" s="36" t="s">
        <v>120</v>
      </c>
      <c r="B23" s="24">
        <f>B21*$B$16</f>
        <v>198</v>
      </c>
      <c r="C23" s="24">
        <f t="shared" ref="C23:G23" si="0">C21*$B$16</f>
        <v>171</v>
      </c>
      <c r="D23" s="24">
        <f t="shared" si="0"/>
        <v>189</v>
      </c>
      <c r="E23" s="24">
        <f t="shared" si="0"/>
        <v>189</v>
      </c>
      <c r="F23" s="24">
        <f t="shared" si="0"/>
        <v>198</v>
      </c>
      <c r="G23" s="24">
        <f t="shared" si="0"/>
        <v>180</v>
      </c>
    </row>
    <row r="24" spans="1:7">
      <c r="A24" s="36" t="s">
        <v>121</v>
      </c>
      <c r="B24" s="24">
        <f>B23/$B$11</f>
        <v>66</v>
      </c>
      <c r="C24" s="24">
        <f t="shared" ref="C24:G24" si="1">C23/$B$11</f>
        <v>57</v>
      </c>
      <c r="D24" s="24">
        <f t="shared" si="1"/>
        <v>63</v>
      </c>
      <c r="E24" s="24">
        <f t="shared" si="1"/>
        <v>63</v>
      </c>
      <c r="F24" s="24">
        <f t="shared" si="1"/>
        <v>66</v>
      </c>
      <c r="G24" s="24">
        <f t="shared" si="1"/>
        <v>60</v>
      </c>
    </row>
    <row r="25" spans="1:7">
      <c r="A25" s="36" t="s">
        <v>122</v>
      </c>
      <c r="B25" s="24">
        <f>B23*$B$12</f>
        <v>2574</v>
      </c>
      <c r="C25" s="24">
        <f t="shared" ref="C25:G25" si="2">C23*$B$12</f>
        <v>2223</v>
      </c>
      <c r="D25" s="24">
        <f t="shared" si="2"/>
        <v>2457</v>
      </c>
      <c r="E25" s="24">
        <f t="shared" si="2"/>
        <v>2457</v>
      </c>
      <c r="F25" s="24">
        <f t="shared" si="2"/>
        <v>2574</v>
      </c>
      <c r="G25" s="24">
        <f t="shared" si="2"/>
        <v>2340</v>
      </c>
    </row>
    <row r="26" spans="1:7">
      <c r="A26" s="36" t="s">
        <v>104</v>
      </c>
      <c r="B26" s="24">
        <v>200</v>
      </c>
      <c r="C26" s="24">
        <f>B30</f>
        <v>162</v>
      </c>
      <c r="D26" s="24">
        <f t="shared" ref="D26:G26" si="3">C30</f>
        <v>0</v>
      </c>
      <c r="E26" s="24">
        <f t="shared" si="3"/>
        <v>0</v>
      </c>
      <c r="F26" s="24">
        <f t="shared" si="3"/>
        <v>41</v>
      </c>
      <c r="G26" s="24">
        <f>F30</f>
        <v>28</v>
      </c>
    </row>
    <row r="27" spans="1:7">
      <c r="A27" s="36" t="s">
        <v>123</v>
      </c>
      <c r="B27" s="24">
        <f>B22-B26</f>
        <v>300</v>
      </c>
      <c r="C27" s="24">
        <f>C22-C26</f>
        <v>488</v>
      </c>
      <c r="D27" s="24">
        <f t="shared" ref="D27:G27" si="4">D22-D26</f>
        <v>450</v>
      </c>
      <c r="E27" s="24">
        <f t="shared" si="4"/>
        <v>400</v>
      </c>
      <c r="F27" s="24">
        <f t="shared" si="4"/>
        <v>434</v>
      </c>
      <c r="G27" s="24">
        <f t="shared" si="4"/>
        <v>272</v>
      </c>
    </row>
    <row r="28" spans="1:7">
      <c r="A28" s="36" t="s">
        <v>124</v>
      </c>
      <c r="B28" s="24">
        <f>B24*$B$17</f>
        <v>462</v>
      </c>
      <c r="C28" s="158">
        <f>C24*$B$17</f>
        <v>399</v>
      </c>
      <c r="D28" s="24">
        <f t="shared" ref="C28:G28" si="5">D24*$B$17</f>
        <v>441</v>
      </c>
      <c r="E28" s="24">
        <f t="shared" si="5"/>
        <v>441</v>
      </c>
      <c r="F28" s="24">
        <f t="shared" si="5"/>
        <v>462</v>
      </c>
      <c r="G28" s="24">
        <f t="shared" si="5"/>
        <v>420</v>
      </c>
    </row>
    <row r="29" spans="1:7">
      <c r="A29" s="36" t="s">
        <v>125</v>
      </c>
      <c r="B29" s="157">
        <v>0</v>
      </c>
      <c r="C29" s="24">
        <f>C27-C28</f>
        <v>89</v>
      </c>
      <c r="D29" s="24">
        <f t="shared" ref="D29:G29" si="6">D27-D28</f>
        <v>9</v>
      </c>
      <c r="E29" s="24">
        <v>0</v>
      </c>
      <c r="F29" s="24">
        <v>0</v>
      </c>
      <c r="G29" s="24">
        <v>0</v>
      </c>
    </row>
    <row r="30" spans="1:7">
      <c r="A30" s="36" t="s">
        <v>126</v>
      </c>
      <c r="B30" s="24">
        <f>B28-B27+B29</f>
        <v>162</v>
      </c>
      <c r="C30" s="24">
        <f>C28-C27+C29</f>
        <v>0</v>
      </c>
      <c r="D30" s="24">
        <f t="shared" ref="D30:G30" si="7">D28-D27+D29</f>
        <v>0</v>
      </c>
      <c r="E30" s="24">
        <f t="shared" si="7"/>
        <v>41</v>
      </c>
      <c r="F30" s="24">
        <f>F28-F27+F29</f>
        <v>28</v>
      </c>
      <c r="G30" s="24">
        <f t="shared" si="7"/>
        <v>148</v>
      </c>
    </row>
    <row r="31" spans="1:7">
      <c r="A31" s="36" t="s">
        <v>127</v>
      </c>
      <c r="B31" s="24">
        <f>$B$17*B25</f>
        <v>18018</v>
      </c>
      <c r="C31" s="24">
        <f t="shared" ref="C31:G31" si="8">$B$17*C25</f>
        <v>15561</v>
      </c>
      <c r="D31" s="24">
        <f t="shared" si="8"/>
        <v>17199</v>
      </c>
      <c r="E31" s="24">
        <f t="shared" si="8"/>
        <v>17199</v>
      </c>
      <c r="F31" s="24">
        <f t="shared" si="8"/>
        <v>18018</v>
      </c>
      <c r="G31" s="24">
        <f t="shared" si="8"/>
        <v>16380</v>
      </c>
    </row>
    <row r="32" spans="1:7">
      <c r="A32" s="36" t="s">
        <v>128</v>
      </c>
      <c r="B32" s="24">
        <f>$B$5*(B28+B29)</f>
        <v>32340</v>
      </c>
      <c r="C32" s="24">
        <f t="shared" ref="C32:G32" si="9">$B$5*(C28+C29)</f>
        <v>34160</v>
      </c>
      <c r="D32" s="24">
        <f t="shared" si="9"/>
        <v>31500</v>
      </c>
      <c r="E32" s="24">
        <f t="shared" si="9"/>
        <v>30870</v>
      </c>
      <c r="F32" s="24">
        <f t="shared" si="9"/>
        <v>32340</v>
      </c>
      <c r="G32" s="24">
        <f t="shared" si="9"/>
        <v>29400</v>
      </c>
    </row>
    <row r="33" spans="1:7">
      <c r="A33" s="36" t="s">
        <v>129</v>
      </c>
      <c r="B33" s="24">
        <f>$B$6*(B30)</f>
        <v>810</v>
      </c>
      <c r="C33" s="24">
        <f t="shared" ref="C33:G33" si="10">$B$6*(C30)</f>
        <v>0</v>
      </c>
      <c r="D33" s="24">
        <f t="shared" si="10"/>
        <v>0</v>
      </c>
      <c r="E33" s="24">
        <f t="shared" si="10"/>
        <v>205</v>
      </c>
      <c r="F33" s="24">
        <f t="shared" si="10"/>
        <v>140</v>
      </c>
      <c r="G33" s="24">
        <f t="shared" si="10"/>
        <v>740</v>
      </c>
    </row>
    <row r="34" spans="1:7">
      <c r="A34" s="36" t="s">
        <v>130</v>
      </c>
      <c r="B34" s="24">
        <f>$B$10*B29</f>
        <v>0</v>
      </c>
      <c r="C34" s="24">
        <f t="shared" ref="C34:G34" si="11">$B$10*C29</f>
        <v>14240</v>
      </c>
      <c r="D34" s="24">
        <f t="shared" si="11"/>
        <v>1440</v>
      </c>
      <c r="E34" s="24">
        <f t="shared" si="11"/>
        <v>0</v>
      </c>
      <c r="F34" s="24">
        <f t="shared" si="11"/>
        <v>0</v>
      </c>
      <c r="G34" s="24">
        <f t="shared" si="11"/>
        <v>0</v>
      </c>
    </row>
    <row r="35" spans="1:7">
      <c r="A35" s="36" t="s">
        <v>131</v>
      </c>
      <c r="B35" s="24">
        <v>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</row>
    <row r="36" spans="1:7">
      <c r="A36" s="36" t="s">
        <v>132</v>
      </c>
      <c r="B36" s="24">
        <f>$B$15*B22</f>
        <v>90000</v>
      </c>
      <c r="C36" s="24">
        <f t="shared" ref="C36:G36" si="12">$B$15*C22</f>
        <v>117000</v>
      </c>
      <c r="D36" s="24">
        <f t="shared" si="12"/>
        <v>81000</v>
      </c>
      <c r="E36" s="24">
        <f t="shared" si="12"/>
        <v>72000</v>
      </c>
      <c r="F36" s="24">
        <f t="shared" si="12"/>
        <v>85500</v>
      </c>
      <c r="G36" s="24">
        <f t="shared" si="12"/>
        <v>54000</v>
      </c>
    </row>
    <row r="37" spans="1:7">
      <c r="A37" s="36" t="s">
        <v>133</v>
      </c>
      <c r="B37" s="24">
        <f>SUM(B31:B35)</f>
        <v>51168</v>
      </c>
      <c r="C37" s="24">
        <f t="shared" ref="C37:G37" si="13">SUM(C31:C35)</f>
        <v>63961</v>
      </c>
      <c r="D37" s="24">
        <f t="shared" si="13"/>
        <v>50139</v>
      </c>
      <c r="E37" s="24">
        <f t="shared" si="13"/>
        <v>48274</v>
      </c>
      <c r="F37" s="24">
        <f t="shared" si="13"/>
        <v>50498</v>
      </c>
      <c r="G37" s="24">
        <f t="shared" si="13"/>
        <v>46520</v>
      </c>
    </row>
    <row r="38" spans="1:7">
      <c r="A38" s="154" t="s">
        <v>134</v>
      </c>
      <c r="B38" s="32">
        <f>B36-B37</f>
        <v>38832</v>
      </c>
      <c r="C38" s="32">
        <f t="shared" ref="C38:G38" si="14">C36-C37</f>
        <v>53039</v>
      </c>
      <c r="D38" s="32">
        <f t="shared" si="14"/>
        <v>30861</v>
      </c>
      <c r="E38" s="32">
        <f t="shared" si="14"/>
        <v>23726</v>
      </c>
      <c r="F38" s="32">
        <f t="shared" si="14"/>
        <v>35002</v>
      </c>
      <c r="G38" s="32">
        <f t="shared" si="14"/>
        <v>7480</v>
      </c>
    </row>
    <row r="40" spans="1:7">
      <c r="A40" s="150" t="s">
        <v>135</v>
      </c>
      <c r="B40" s="151">
        <f>SUM(B36:G36)</f>
        <v>499500</v>
      </c>
    </row>
    <row r="41" spans="1:7">
      <c r="A41" s="146" t="s">
        <v>133</v>
      </c>
      <c r="B41" s="147">
        <f>SUM(B37:G37)</f>
        <v>310560</v>
      </c>
    </row>
    <row r="42" spans="1:7">
      <c r="A42" s="148" t="s">
        <v>136</v>
      </c>
      <c r="B42" s="149">
        <f>B40-B41</f>
        <v>188940</v>
      </c>
    </row>
  </sheetData>
  <mergeCells count="1"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Kalis</dc:creator>
  <cp:keywords/>
  <dc:description/>
  <cp:lastModifiedBy>Alexander Kalis</cp:lastModifiedBy>
  <cp:revision/>
  <dcterms:created xsi:type="dcterms:W3CDTF">2024-05-08T10:43:10Z</dcterms:created>
  <dcterms:modified xsi:type="dcterms:W3CDTF">2024-05-10T12:41:44Z</dcterms:modified>
  <cp:category/>
  <cp:contentStatus/>
</cp:coreProperties>
</file>