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UKADisk\UDIMA\Contabilidad\AEC1\"/>
    </mc:Choice>
  </mc:AlternateContent>
  <xr:revisionPtr revIDLastSave="0" documentId="8_{252629EB-5F39-4AF7-9BBF-284B7DBB3BD9}" xr6:coauthVersionLast="45" xr6:coauthVersionMax="45" xr10:uidLastSave="{00000000-0000-0000-0000-000000000000}"/>
  <bookViews>
    <workbookView xWindow="25608" yWindow="2376" windowWidth="30960" windowHeight="12312" firstSheet="2" activeTab="10" xr2:uid="{DCA9AE1B-1355-49CA-9490-E10F4FBA6FD1}"/>
  </bookViews>
  <sheets>
    <sheet name="1 Enero" sheetId="1" r:id="rId1"/>
    <sheet name="2 Enero" sheetId="3" r:id="rId2"/>
    <sheet name="6 Enero" sheetId="5" r:id="rId3"/>
    <sheet name="9 Enero" sheetId="6" r:id="rId4"/>
    <sheet name="11 Enero" sheetId="7" r:id="rId5"/>
    <sheet name="16 Enero" sheetId="8" r:id="rId6"/>
    <sheet name="18 Enero" sheetId="9" r:id="rId7"/>
    <sheet name="20 Enero" sheetId="10" r:id="rId8"/>
    <sheet name="27 Enero" sheetId="11" r:id="rId9"/>
    <sheet name="30 Enero" sheetId="12" r:id="rId10"/>
    <sheet name="31 Enero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3" l="1"/>
  <c r="E9" i="13"/>
  <c r="E10" i="13"/>
  <c r="C9" i="13"/>
  <c r="E8" i="13"/>
  <c r="C8" i="13"/>
  <c r="E7" i="13"/>
  <c r="C7" i="13"/>
  <c r="E6" i="13"/>
  <c r="C6" i="13"/>
  <c r="E5" i="13"/>
  <c r="E12" i="13" s="1"/>
  <c r="C5" i="13"/>
  <c r="C10" i="12"/>
  <c r="C9" i="12"/>
  <c r="E10" i="12"/>
  <c r="E9" i="12"/>
  <c r="E8" i="12"/>
  <c r="C8" i="12"/>
  <c r="E7" i="12"/>
  <c r="C7" i="12"/>
  <c r="E6" i="12"/>
  <c r="C6" i="12"/>
  <c r="E5" i="12"/>
  <c r="E12" i="12" s="1"/>
  <c r="C5" i="12"/>
  <c r="C12" i="12" s="1"/>
  <c r="C10" i="11"/>
  <c r="E8" i="11"/>
  <c r="E10" i="11"/>
  <c r="E9" i="11"/>
  <c r="C9" i="11"/>
  <c r="C8" i="11"/>
  <c r="E7" i="11"/>
  <c r="C7" i="11"/>
  <c r="E6" i="11"/>
  <c r="C6" i="11"/>
  <c r="E5" i="11"/>
  <c r="E12" i="11" s="1"/>
  <c r="C5" i="11"/>
  <c r="C10" i="10"/>
  <c r="C8" i="10"/>
  <c r="E10" i="10"/>
  <c r="E9" i="10"/>
  <c r="C9" i="10"/>
  <c r="E8" i="10"/>
  <c r="E7" i="10"/>
  <c r="C7" i="10"/>
  <c r="E6" i="10"/>
  <c r="C6" i="10"/>
  <c r="E5" i="10"/>
  <c r="E12" i="10" s="1"/>
  <c r="C5" i="10"/>
  <c r="E7" i="9"/>
  <c r="C6" i="9"/>
  <c r="E10" i="9"/>
  <c r="C10" i="9"/>
  <c r="E9" i="9"/>
  <c r="C9" i="9"/>
  <c r="E8" i="9"/>
  <c r="C8" i="9"/>
  <c r="C7" i="9"/>
  <c r="E6" i="9"/>
  <c r="E5" i="9"/>
  <c r="E12" i="9" s="1"/>
  <c r="C5" i="9"/>
  <c r="C12" i="9" s="1"/>
  <c r="E10" i="8"/>
  <c r="C10" i="8"/>
  <c r="C8" i="8"/>
  <c r="E9" i="8"/>
  <c r="C9" i="8"/>
  <c r="E8" i="8"/>
  <c r="E7" i="8"/>
  <c r="C7" i="8"/>
  <c r="E6" i="8"/>
  <c r="C6" i="8"/>
  <c r="E5" i="8"/>
  <c r="E12" i="8" s="1"/>
  <c r="C5" i="8"/>
  <c r="C12" i="8" s="1"/>
  <c r="C9" i="7"/>
  <c r="C10" i="7"/>
  <c r="C8" i="7"/>
  <c r="E10" i="7"/>
  <c r="E9" i="7"/>
  <c r="E8" i="7"/>
  <c r="E7" i="7"/>
  <c r="C7" i="7"/>
  <c r="E6" i="7"/>
  <c r="C6" i="7"/>
  <c r="E5" i="7"/>
  <c r="E12" i="7" s="1"/>
  <c r="C5" i="7"/>
  <c r="C10" i="6"/>
  <c r="E10" i="6"/>
  <c r="E9" i="6"/>
  <c r="C9" i="6"/>
  <c r="E8" i="6"/>
  <c r="C8" i="6"/>
  <c r="E7" i="6"/>
  <c r="C7" i="6"/>
  <c r="E6" i="6"/>
  <c r="C6" i="6"/>
  <c r="E5" i="6"/>
  <c r="E12" i="6" s="1"/>
  <c r="C5" i="6"/>
  <c r="C12" i="6" s="1"/>
  <c r="C10" i="5"/>
  <c r="C7" i="5"/>
  <c r="E10" i="5"/>
  <c r="E9" i="5"/>
  <c r="C9" i="5"/>
  <c r="E8" i="5"/>
  <c r="C8" i="5"/>
  <c r="E7" i="5"/>
  <c r="E6" i="5"/>
  <c r="C6" i="5"/>
  <c r="E5" i="5"/>
  <c r="E12" i="5" s="1"/>
  <c r="C5" i="5"/>
  <c r="C10" i="3"/>
  <c r="C9" i="3"/>
  <c r="E10" i="3"/>
  <c r="E9" i="3"/>
  <c r="E8" i="3"/>
  <c r="C8" i="3"/>
  <c r="E7" i="3"/>
  <c r="C7" i="3"/>
  <c r="E6" i="3"/>
  <c r="C6" i="3"/>
  <c r="E5" i="3"/>
  <c r="E12" i="3" s="1"/>
  <c r="C5" i="3"/>
  <c r="C9" i="1"/>
  <c r="C8" i="1"/>
  <c r="C7" i="1"/>
  <c r="C6" i="1"/>
  <c r="C5" i="1"/>
  <c r="E10" i="1"/>
  <c r="E9" i="1"/>
  <c r="E8" i="1"/>
  <c r="E7" i="1"/>
  <c r="E6" i="1"/>
  <c r="E5" i="1"/>
  <c r="C10" i="1"/>
  <c r="C12" i="13" l="1"/>
  <c r="C12" i="11"/>
  <c r="C12" i="10"/>
  <c r="C12" i="7"/>
  <c r="C12" i="5"/>
  <c r="C12" i="3"/>
  <c r="E12" i="1"/>
  <c r="C12" i="1"/>
</calcChain>
</file>

<file path=xl/sharedStrings.xml><?xml version="1.0" encoding="utf-8"?>
<sst xmlns="http://schemas.openxmlformats.org/spreadsheetml/2006/main" count="176" uniqueCount="15">
  <si>
    <t>Activo</t>
  </si>
  <si>
    <t>Terrenos y bienes naturales</t>
  </si>
  <si>
    <t>Maquinaria</t>
  </si>
  <si>
    <t>Mobiliario</t>
  </si>
  <si>
    <t>Mercaderias</t>
  </si>
  <si>
    <t>Clientes</t>
  </si>
  <si>
    <t>Tesoreria</t>
  </si>
  <si>
    <t>TOTAL</t>
  </si>
  <si>
    <t>Pasivo</t>
  </si>
  <si>
    <t>Capital</t>
  </si>
  <si>
    <t>Reservas</t>
  </si>
  <si>
    <t>Deudas largo plazo</t>
  </si>
  <si>
    <t>Deudas corto plazo</t>
  </si>
  <si>
    <t>Hacienda acreedora</t>
  </si>
  <si>
    <t>Provedores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</si>
</sst>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65BEA-C5D1-43F7-ABD9-417BD3348CD2}">
  <dimension ref="B4:E12"/>
  <sheetViews>
    <sheetView workbookViewId="0">
      <selection activeCell="B25" sqref="B25"/>
    </sheetView>
  </sheetViews>
  <sheetFormatPr defaultRowHeight="14.4" x14ac:dyDescent="0.3"/>
  <cols>
    <col min="2" max="2" width="28.33203125" customWidth="1"/>
    <col min="3" max="3" width="16.33203125" customWidth="1"/>
    <col min="4" max="4" width="21.6640625" customWidth="1"/>
    <col min="5" max="5" width="16.44140625" customWidth="1"/>
  </cols>
  <sheetData>
    <row r="4" spans="2:5" x14ac:dyDescent="0.3">
      <c r="B4" s="1" t="s">
        <v>0</v>
      </c>
      <c r="C4" s="1"/>
      <c r="D4" s="1" t="s">
        <v>8</v>
      </c>
      <c r="E4" s="1"/>
    </row>
    <row r="5" spans="2:5" x14ac:dyDescent="0.3">
      <c r="B5" s="2" t="s">
        <v>1</v>
      </c>
      <c r="C5" s="2">
        <f>151000</f>
        <v>151000</v>
      </c>
      <c r="D5" s="2" t="s">
        <v>9</v>
      </c>
      <c r="E5" s="2">
        <f>111000</f>
        <v>111000</v>
      </c>
    </row>
    <row r="6" spans="2:5" x14ac:dyDescent="0.3">
      <c r="B6" s="2" t="s">
        <v>2</v>
      </c>
      <c r="C6" s="2">
        <f>7000</f>
        <v>7000</v>
      </c>
      <c r="D6" s="2" t="s">
        <v>10</v>
      </c>
      <c r="E6" s="2">
        <f>20500</f>
        <v>20500</v>
      </c>
    </row>
    <row r="7" spans="2:5" x14ac:dyDescent="0.3">
      <c r="B7" s="2" t="s">
        <v>3</v>
      </c>
      <c r="C7" s="2">
        <f>11000</f>
        <v>11000</v>
      </c>
      <c r="D7" s="2" t="s">
        <v>11</v>
      </c>
      <c r="E7" s="2">
        <f>42000</f>
        <v>42000</v>
      </c>
    </row>
    <row r="8" spans="2:5" x14ac:dyDescent="0.3">
      <c r="B8" s="2" t="s">
        <v>4</v>
      </c>
      <c r="C8" s="2">
        <f>9000</f>
        <v>9000</v>
      </c>
      <c r="D8" s="2" t="s">
        <v>12</v>
      </c>
      <c r="E8" s="2">
        <f>10300</f>
        <v>10300</v>
      </c>
    </row>
    <row r="9" spans="2:5" x14ac:dyDescent="0.3">
      <c r="B9" s="2" t="s">
        <v>5</v>
      </c>
      <c r="C9" s="2">
        <f>11000</f>
        <v>11000</v>
      </c>
      <c r="D9" s="2" t="s">
        <v>13</v>
      </c>
      <c r="E9" s="2">
        <f>800</f>
        <v>800</v>
      </c>
    </row>
    <row r="10" spans="2:5" x14ac:dyDescent="0.3">
      <c r="B10" s="2" t="s">
        <v>6</v>
      </c>
      <c r="C10" s="2">
        <f>8500</f>
        <v>8500</v>
      </c>
      <c r="D10" s="2" t="s">
        <v>14</v>
      </c>
      <c r="E10" s="2">
        <f>12900</f>
        <v>12900</v>
      </c>
    </row>
    <row r="11" spans="2:5" x14ac:dyDescent="0.3">
      <c r="B11" s="2"/>
      <c r="C11" s="2"/>
      <c r="D11" s="2"/>
      <c r="E11" s="2"/>
    </row>
    <row r="12" spans="2:5" x14ac:dyDescent="0.3">
      <c r="B12" s="2" t="s">
        <v>7</v>
      </c>
      <c r="C12" s="2">
        <f>SUM(C5:C10)</f>
        <v>197500</v>
      </c>
      <c r="D12" s="2" t="s">
        <v>7</v>
      </c>
      <c r="E12" s="2">
        <f>SUM(E5:E10)</f>
        <v>197500</v>
      </c>
    </row>
  </sheetData>
  <mergeCells count="2">
    <mergeCell ref="B4:C4"/>
    <mergeCell ref="D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9E1F6-19A0-4F39-B101-66608D51B17F}">
  <dimension ref="B4:E12"/>
  <sheetViews>
    <sheetView workbookViewId="0">
      <selection activeCell="B19" sqref="A1:XFD1048576"/>
    </sheetView>
  </sheetViews>
  <sheetFormatPr defaultRowHeight="14.4" x14ac:dyDescent="0.3"/>
  <cols>
    <col min="2" max="2" width="28.33203125" customWidth="1"/>
    <col min="3" max="3" width="16.33203125" customWidth="1"/>
    <col min="4" max="4" width="21.6640625" customWidth="1"/>
    <col min="5" max="5" width="16.44140625" customWidth="1"/>
  </cols>
  <sheetData>
    <row r="4" spans="2:5" x14ac:dyDescent="0.3">
      <c r="B4" s="1" t="s">
        <v>0</v>
      </c>
      <c r="C4" s="1"/>
      <c r="D4" s="1" t="s">
        <v>8</v>
      </c>
      <c r="E4" s="1"/>
    </row>
    <row r="5" spans="2:5" x14ac:dyDescent="0.3">
      <c r="B5" s="2" t="s">
        <v>1</v>
      </c>
      <c r="C5" s="2">
        <f>151000</f>
        <v>151000</v>
      </c>
      <c r="D5" s="2" t="s">
        <v>9</v>
      </c>
      <c r="E5" s="2">
        <f>111000</f>
        <v>111000</v>
      </c>
    </row>
    <row r="6" spans="2:5" x14ac:dyDescent="0.3">
      <c r="B6" s="2" t="s">
        <v>2</v>
      </c>
      <c r="C6" s="2">
        <f>7000</f>
        <v>7000</v>
      </c>
      <c r="D6" s="2" t="s">
        <v>10</v>
      </c>
      <c r="E6" s="2">
        <f>20500</f>
        <v>20500</v>
      </c>
    </row>
    <row r="7" spans="2:5" x14ac:dyDescent="0.3">
      <c r="B7" s="2" t="s">
        <v>3</v>
      </c>
      <c r="C7" s="2">
        <f>11000</f>
        <v>11000</v>
      </c>
      <c r="D7" s="2" t="s">
        <v>11</v>
      </c>
      <c r="E7" s="2">
        <f>42000</f>
        <v>42000</v>
      </c>
    </row>
    <row r="8" spans="2:5" x14ac:dyDescent="0.3">
      <c r="B8" s="2" t="s">
        <v>4</v>
      </c>
      <c r="C8" s="2">
        <f>9000</f>
        <v>9000</v>
      </c>
      <c r="D8" s="2" t="s">
        <v>12</v>
      </c>
      <c r="E8" s="2">
        <f>10300</f>
        <v>10300</v>
      </c>
    </row>
    <row r="9" spans="2:5" x14ac:dyDescent="0.3">
      <c r="B9" s="2" t="s">
        <v>5</v>
      </c>
      <c r="C9" s="2">
        <f>11000-4500</f>
        <v>6500</v>
      </c>
      <c r="D9" s="2" t="s">
        <v>13</v>
      </c>
      <c r="E9" s="2">
        <f>800</f>
        <v>800</v>
      </c>
    </row>
    <row r="10" spans="2:5" x14ac:dyDescent="0.3">
      <c r="B10" s="2" t="s">
        <v>6</v>
      </c>
      <c r="C10" s="2">
        <f>8500+4500</f>
        <v>13000</v>
      </c>
      <c r="D10" s="2" t="s">
        <v>14</v>
      </c>
      <c r="E10" s="2">
        <f>12900</f>
        <v>12900</v>
      </c>
    </row>
    <row r="11" spans="2:5" x14ac:dyDescent="0.3">
      <c r="B11" s="2"/>
      <c r="C11" s="2"/>
      <c r="D11" s="2"/>
      <c r="E11" s="2"/>
    </row>
    <row r="12" spans="2:5" x14ac:dyDescent="0.3">
      <c r="B12" s="2" t="s">
        <v>7</v>
      </c>
      <c r="C12" s="2">
        <f>SUM(C5:C10)</f>
        <v>197500</v>
      </c>
      <c r="D12" s="2" t="s">
        <v>7</v>
      </c>
      <c r="E12" s="2">
        <f>SUM(E5:E10)</f>
        <v>197500</v>
      </c>
    </row>
  </sheetData>
  <mergeCells count="2">
    <mergeCell ref="B4:C4"/>
    <mergeCell ref="D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7A98A-1F56-4396-AF17-EE3EC60F4339}">
  <dimension ref="B4:E12"/>
  <sheetViews>
    <sheetView workbookViewId="0">
      <selection activeCell="C33" sqref="A1:XFD1048576"/>
    </sheetView>
  </sheetViews>
  <sheetFormatPr defaultRowHeight="14.4" x14ac:dyDescent="0.3"/>
  <cols>
    <col min="2" max="2" width="28.33203125" customWidth="1"/>
    <col min="3" max="3" width="16.33203125" customWidth="1"/>
    <col min="4" max="4" width="21.6640625" customWidth="1"/>
    <col min="5" max="5" width="16.44140625" customWidth="1"/>
  </cols>
  <sheetData>
    <row r="4" spans="2:5" x14ac:dyDescent="0.3">
      <c r="B4" s="1" t="s">
        <v>0</v>
      </c>
      <c r="C4" s="1"/>
      <c r="D4" s="1" t="s">
        <v>8</v>
      </c>
      <c r="E4" s="1"/>
    </row>
    <row r="5" spans="2:5" x14ac:dyDescent="0.3">
      <c r="B5" s="2" t="s">
        <v>1</v>
      </c>
      <c r="C5" s="2">
        <f>151000</f>
        <v>151000</v>
      </c>
      <c r="D5" s="2" t="s">
        <v>9</v>
      </c>
      <c r="E5" s="2">
        <f>111000</f>
        <v>111000</v>
      </c>
    </row>
    <row r="6" spans="2:5" x14ac:dyDescent="0.3">
      <c r="B6" s="2" t="s">
        <v>2</v>
      </c>
      <c r="C6" s="2">
        <f>7000</f>
        <v>7000</v>
      </c>
      <c r="D6" s="2" t="s">
        <v>10</v>
      </c>
      <c r="E6" s="2">
        <f>20500</f>
        <v>20500</v>
      </c>
    </row>
    <row r="7" spans="2:5" x14ac:dyDescent="0.3">
      <c r="B7" s="2" t="s">
        <v>3</v>
      </c>
      <c r="C7" s="2">
        <f>11000+700</f>
        <v>11700</v>
      </c>
      <c r="D7" s="2" t="s">
        <v>11</v>
      </c>
      <c r="E7" s="2">
        <f>42000</f>
        <v>42000</v>
      </c>
    </row>
    <row r="8" spans="2:5" x14ac:dyDescent="0.3">
      <c r="B8" s="2" t="s">
        <v>4</v>
      </c>
      <c r="C8" s="2">
        <f>9000</f>
        <v>9000</v>
      </c>
      <c r="D8" s="2" t="s">
        <v>12</v>
      </c>
      <c r="E8" s="2">
        <f>10300</f>
        <v>10300</v>
      </c>
    </row>
    <row r="9" spans="2:5" x14ac:dyDescent="0.3">
      <c r="B9" s="2" t="s">
        <v>5</v>
      </c>
      <c r="C9" s="2">
        <f>11000-4500</f>
        <v>6500</v>
      </c>
      <c r="D9" s="2" t="s">
        <v>13</v>
      </c>
      <c r="E9" s="2">
        <f>800</f>
        <v>800</v>
      </c>
    </row>
    <row r="10" spans="2:5" x14ac:dyDescent="0.3">
      <c r="B10" s="2" t="s">
        <v>6</v>
      </c>
      <c r="C10" s="2">
        <f>8500+4500-700</f>
        <v>12300</v>
      </c>
      <c r="D10" s="2" t="s">
        <v>14</v>
      </c>
      <c r="E10" s="2">
        <f>12900</f>
        <v>12900</v>
      </c>
    </row>
    <row r="11" spans="2:5" x14ac:dyDescent="0.3">
      <c r="B11" s="2"/>
      <c r="C11" s="2"/>
      <c r="D11" s="2"/>
      <c r="E11" s="2"/>
    </row>
    <row r="12" spans="2:5" x14ac:dyDescent="0.3">
      <c r="B12" s="2" t="s">
        <v>7</v>
      </c>
      <c r="C12" s="2">
        <f>SUM(C5:C10)</f>
        <v>197500</v>
      </c>
      <c r="D12" s="2" t="s">
        <v>7</v>
      </c>
      <c r="E12" s="2">
        <f>SUM(E5:E10)</f>
        <v>197500</v>
      </c>
    </row>
  </sheetData>
  <mergeCells count="2">
    <mergeCell ref="B4:C4"/>
    <mergeCell ref="D4: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D6DAF-CA25-4DF0-BAC7-E45911C5136B}">
  <dimension ref="B4:E12"/>
  <sheetViews>
    <sheetView workbookViewId="0">
      <selection activeCell="C31" sqref="A1:XFD1048576"/>
    </sheetView>
  </sheetViews>
  <sheetFormatPr defaultRowHeight="14.4" x14ac:dyDescent="0.3"/>
  <cols>
    <col min="2" max="2" width="28.33203125" customWidth="1"/>
    <col min="3" max="3" width="16.33203125" customWidth="1"/>
    <col min="4" max="4" width="21.6640625" customWidth="1"/>
    <col min="5" max="5" width="16.44140625" customWidth="1"/>
  </cols>
  <sheetData>
    <row r="4" spans="2:5" x14ac:dyDescent="0.3">
      <c r="B4" s="1" t="s">
        <v>0</v>
      </c>
      <c r="C4" s="1"/>
      <c r="D4" s="1" t="s">
        <v>8</v>
      </c>
      <c r="E4" s="1"/>
    </row>
    <row r="5" spans="2:5" x14ac:dyDescent="0.3">
      <c r="B5" s="2" t="s">
        <v>1</v>
      </c>
      <c r="C5" s="2">
        <f>151000</f>
        <v>151000</v>
      </c>
      <c r="D5" s="2" t="s">
        <v>9</v>
      </c>
      <c r="E5" s="2">
        <f>111000</f>
        <v>111000</v>
      </c>
    </row>
    <row r="6" spans="2:5" x14ac:dyDescent="0.3">
      <c r="B6" s="2" t="s">
        <v>2</v>
      </c>
      <c r="C6" s="2">
        <f>7000</f>
        <v>7000</v>
      </c>
      <c r="D6" s="2" t="s">
        <v>10</v>
      </c>
      <c r="E6" s="2">
        <f>20500</f>
        <v>20500</v>
      </c>
    </row>
    <row r="7" spans="2:5" x14ac:dyDescent="0.3">
      <c r="B7" s="2" t="s">
        <v>3</v>
      </c>
      <c r="C7" s="2">
        <f>11000+700</f>
        <v>11700</v>
      </c>
      <c r="D7" s="2" t="s">
        <v>11</v>
      </c>
      <c r="E7" s="2">
        <f>42000</f>
        <v>42000</v>
      </c>
    </row>
    <row r="8" spans="2:5" x14ac:dyDescent="0.3">
      <c r="B8" s="2" t="s">
        <v>4</v>
      </c>
      <c r="C8" s="2">
        <f>9000</f>
        <v>9000</v>
      </c>
      <c r="D8" s="2" t="s">
        <v>12</v>
      </c>
      <c r="E8" s="2">
        <f>10300</f>
        <v>10300</v>
      </c>
    </row>
    <row r="9" spans="2:5" x14ac:dyDescent="0.3">
      <c r="B9" s="2" t="s">
        <v>5</v>
      </c>
      <c r="C9" s="2">
        <f>11000-4500</f>
        <v>6500</v>
      </c>
      <c r="D9" s="2" t="s">
        <v>13</v>
      </c>
      <c r="E9" s="2">
        <f>800</f>
        <v>800</v>
      </c>
    </row>
    <row r="10" spans="2:5" x14ac:dyDescent="0.3">
      <c r="B10" s="2" t="s">
        <v>6</v>
      </c>
      <c r="C10" s="2">
        <f>8500+4500-700-(12900/2)</f>
        <v>5850</v>
      </c>
      <c r="D10" s="2" t="s">
        <v>14</v>
      </c>
      <c r="E10" s="2">
        <f>12900-(12900/2)</f>
        <v>6450</v>
      </c>
    </row>
    <row r="11" spans="2:5" x14ac:dyDescent="0.3">
      <c r="B11" s="2"/>
      <c r="C11" s="2"/>
      <c r="D11" s="2"/>
      <c r="E11" s="2"/>
    </row>
    <row r="12" spans="2:5" x14ac:dyDescent="0.3">
      <c r="B12" s="2" t="s">
        <v>7</v>
      </c>
      <c r="C12" s="2">
        <f>SUM(C5:C10)</f>
        <v>191050</v>
      </c>
      <c r="D12" s="2" t="s">
        <v>7</v>
      </c>
      <c r="E12" s="2">
        <f>SUM(E5:E10)</f>
        <v>191050</v>
      </c>
    </row>
  </sheetData>
  <mergeCells count="2">
    <mergeCell ref="B4:C4"/>
    <mergeCell ref="D4:E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F8C41-E529-4013-973C-CCFEDA7B99CD}">
  <dimension ref="B4:E12"/>
  <sheetViews>
    <sheetView workbookViewId="0">
      <selection activeCell="B26" sqref="A1:XFD1048576"/>
    </sheetView>
  </sheetViews>
  <sheetFormatPr defaultRowHeight="14.4" x14ac:dyDescent="0.3"/>
  <cols>
    <col min="2" max="2" width="28.33203125" customWidth="1"/>
    <col min="3" max="3" width="16.33203125" customWidth="1"/>
    <col min="4" max="4" width="21.6640625" customWidth="1"/>
    <col min="5" max="5" width="16.44140625" customWidth="1"/>
  </cols>
  <sheetData>
    <row r="4" spans="2:5" x14ac:dyDescent="0.3">
      <c r="B4" s="1" t="s">
        <v>0</v>
      </c>
      <c r="C4" s="1"/>
      <c r="D4" s="1" t="s">
        <v>8</v>
      </c>
      <c r="E4" s="1"/>
    </row>
    <row r="5" spans="2:5" x14ac:dyDescent="0.3">
      <c r="B5" s="2" t="s">
        <v>1</v>
      </c>
      <c r="C5" s="2">
        <f>151000</f>
        <v>151000</v>
      </c>
      <c r="D5" s="2" t="s">
        <v>9</v>
      </c>
      <c r="E5" s="2">
        <f>111000</f>
        <v>111000</v>
      </c>
    </row>
    <row r="6" spans="2:5" x14ac:dyDescent="0.3">
      <c r="B6" s="2" t="s">
        <v>2</v>
      </c>
      <c r="C6" s="2">
        <f>7000</f>
        <v>7000</v>
      </c>
      <c r="D6" s="2" t="s">
        <v>10</v>
      </c>
      <c r="E6" s="2">
        <f>20500</f>
        <v>20500</v>
      </c>
    </row>
    <row r="7" spans="2:5" x14ac:dyDescent="0.3">
      <c r="B7" s="2" t="s">
        <v>3</v>
      </c>
      <c r="C7" s="2">
        <f>11000+700</f>
        <v>11700</v>
      </c>
      <c r="D7" s="2" t="s">
        <v>11</v>
      </c>
      <c r="E7" s="2">
        <f>42000</f>
        <v>42000</v>
      </c>
    </row>
    <row r="8" spans="2:5" x14ac:dyDescent="0.3">
      <c r="B8" s="2" t="s">
        <v>4</v>
      </c>
      <c r="C8" s="2">
        <f>9000-9000</f>
        <v>0</v>
      </c>
      <c r="D8" s="2" t="s">
        <v>12</v>
      </c>
      <c r="E8" s="2">
        <f>10300</f>
        <v>10300</v>
      </c>
    </row>
    <row r="9" spans="2:5" x14ac:dyDescent="0.3">
      <c r="B9" s="2" t="s">
        <v>5</v>
      </c>
      <c r="C9" s="2">
        <f>11000-4500+(9000/4)</f>
        <v>8750</v>
      </c>
      <c r="D9" s="2" t="s">
        <v>13</v>
      </c>
      <c r="E9" s="2">
        <f>800</f>
        <v>800</v>
      </c>
    </row>
    <row r="10" spans="2:5" x14ac:dyDescent="0.3">
      <c r="B10" s="2" t="s">
        <v>6</v>
      </c>
      <c r="C10" s="2">
        <f>8500+4500-700-(12900/2)+(9000*3/4)</f>
        <v>12600</v>
      </c>
      <c r="D10" s="2" t="s">
        <v>14</v>
      </c>
      <c r="E10" s="2">
        <f>12900-(12900/2)</f>
        <v>6450</v>
      </c>
    </row>
    <row r="11" spans="2:5" x14ac:dyDescent="0.3">
      <c r="B11" s="2"/>
      <c r="C11" s="2"/>
      <c r="D11" s="2"/>
      <c r="E11" s="2"/>
    </row>
    <row r="12" spans="2:5" x14ac:dyDescent="0.3">
      <c r="B12" s="2" t="s">
        <v>7</v>
      </c>
      <c r="C12" s="2">
        <f>SUM(C5:C10)</f>
        <v>191050</v>
      </c>
      <c r="D12" s="2" t="s">
        <v>7</v>
      </c>
      <c r="E12" s="2">
        <f>SUM(E5:E10)</f>
        <v>191050</v>
      </c>
    </row>
  </sheetData>
  <mergeCells count="2">
    <mergeCell ref="B4:C4"/>
    <mergeCell ref="D4:E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CC1F-535C-47FD-BA20-E7971BF5ED66}">
  <dimension ref="B4:E12"/>
  <sheetViews>
    <sheetView workbookViewId="0">
      <selection activeCell="C35" sqref="A1:XFD1048576"/>
    </sheetView>
  </sheetViews>
  <sheetFormatPr defaultRowHeight="14.4" x14ac:dyDescent="0.3"/>
  <cols>
    <col min="2" max="2" width="28.33203125" customWidth="1"/>
    <col min="3" max="3" width="16.33203125" customWidth="1"/>
    <col min="4" max="4" width="21.6640625" customWidth="1"/>
    <col min="5" max="5" width="16.44140625" customWidth="1"/>
  </cols>
  <sheetData>
    <row r="4" spans="2:5" x14ac:dyDescent="0.3">
      <c r="B4" s="1" t="s">
        <v>0</v>
      </c>
      <c r="C4" s="1"/>
      <c r="D4" s="1" t="s">
        <v>8</v>
      </c>
      <c r="E4" s="1"/>
    </row>
    <row r="5" spans="2:5" x14ac:dyDescent="0.3">
      <c r="B5" s="2" t="s">
        <v>1</v>
      </c>
      <c r="C5" s="2">
        <f>151000</f>
        <v>151000</v>
      </c>
      <c r="D5" s="2" t="s">
        <v>9</v>
      </c>
      <c r="E5" s="2">
        <f>111000</f>
        <v>111000</v>
      </c>
    </row>
    <row r="6" spans="2:5" x14ac:dyDescent="0.3">
      <c r="B6" s="2" t="s">
        <v>2</v>
      </c>
      <c r="C6" s="2">
        <f>7000</f>
        <v>7000</v>
      </c>
      <c r="D6" s="2" t="s">
        <v>10</v>
      </c>
      <c r="E6" s="2">
        <f>20500</f>
        <v>20500</v>
      </c>
    </row>
    <row r="7" spans="2:5" x14ac:dyDescent="0.3">
      <c r="B7" s="2" t="s">
        <v>3</v>
      </c>
      <c r="C7" s="2">
        <f>11000+700</f>
        <v>11700</v>
      </c>
      <c r="D7" s="2" t="s">
        <v>11</v>
      </c>
      <c r="E7" s="2">
        <f>42000</f>
        <v>42000</v>
      </c>
    </row>
    <row r="8" spans="2:5" x14ac:dyDescent="0.3">
      <c r="B8" s="2" t="s">
        <v>4</v>
      </c>
      <c r="C8" s="2">
        <f>9000-9000+2000</f>
        <v>2000</v>
      </c>
      <c r="D8" s="2" t="s">
        <v>12</v>
      </c>
      <c r="E8" s="2">
        <f>10300</f>
        <v>10300</v>
      </c>
    </row>
    <row r="9" spans="2:5" x14ac:dyDescent="0.3">
      <c r="B9" s="2" t="s">
        <v>5</v>
      </c>
      <c r="C9" s="2">
        <f>11000-4500+(9000/4)</f>
        <v>8750</v>
      </c>
      <c r="D9" s="2" t="s">
        <v>13</v>
      </c>
      <c r="E9" s="2">
        <f>800</f>
        <v>800</v>
      </c>
    </row>
    <row r="10" spans="2:5" x14ac:dyDescent="0.3">
      <c r="B10" s="2" t="s">
        <v>6</v>
      </c>
      <c r="C10" s="2">
        <f>8500+4500-700-(12900/2)+(9000*3/4)-1500</f>
        <v>11100</v>
      </c>
      <c r="D10" s="2" t="s">
        <v>14</v>
      </c>
      <c r="E10" s="2">
        <f>12900-(12900/2)+500</f>
        <v>6950</v>
      </c>
    </row>
    <row r="11" spans="2:5" x14ac:dyDescent="0.3">
      <c r="B11" s="2"/>
      <c r="C11" s="2"/>
      <c r="D11" s="2"/>
      <c r="E11" s="2"/>
    </row>
    <row r="12" spans="2:5" x14ac:dyDescent="0.3">
      <c r="B12" s="2" t="s">
        <v>7</v>
      </c>
      <c r="C12" s="2">
        <f>SUM(C5:C10)</f>
        <v>191550</v>
      </c>
      <c r="D12" s="2" t="s">
        <v>7</v>
      </c>
      <c r="E12" s="2">
        <f>SUM(E5:E10)</f>
        <v>191550</v>
      </c>
    </row>
  </sheetData>
  <mergeCells count="2">
    <mergeCell ref="B4:C4"/>
    <mergeCell ref="D4:E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F4A5C-186E-4C10-B7FF-EF834922067C}">
  <dimension ref="B4:E12"/>
  <sheetViews>
    <sheetView workbookViewId="0">
      <selection activeCell="D36" sqref="A1:XFD1048576"/>
    </sheetView>
  </sheetViews>
  <sheetFormatPr defaultRowHeight="14.4" x14ac:dyDescent="0.3"/>
  <cols>
    <col min="2" max="2" width="28.33203125" customWidth="1"/>
    <col min="3" max="3" width="16.33203125" customWidth="1"/>
    <col min="4" max="4" width="21.6640625" customWidth="1"/>
    <col min="5" max="5" width="16.44140625" customWidth="1"/>
  </cols>
  <sheetData>
    <row r="4" spans="2:5" x14ac:dyDescent="0.3">
      <c r="B4" s="1" t="s">
        <v>0</v>
      </c>
      <c r="C4" s="1"/>
      <c r="D4" s="1" t="s">
        <v>8</v>
      </c>
      <c r="E4" s="1"/>
    </row>
    <row r="5" spans="2:5" x14ac:dyDescent="0.3">
      <c r="B5" s="2" t="s">
        <v>1</v>
      </c>
      <c r="C5" s="2">
        <f>151000</f>
        <v>151000</v>
      </c>
      <c r="D5" s="2" t="s">
        <v>9</v>
      </c>
      <c r="E5" s="2">
        <f>111000</f>
        <v>111000</v>
      </c>
    </row>
    <row r="6" spans="2:5" x14ac:dyDescent="0.3">
      <c r="B6" s="2" t="s">
        <v>2</v>
      </c>
      <c r="C6" s="2">
        <f>7000+1500</f>
        <v>8500</v>
      </c>
      <c r="D6" s="2" t="s">
        <v>10</v>
      </c>
      <c r="E6" s="2">
        <f>20500</f>
        <v>20500</v>
      </c>
    </row>
    <row r="7" spans="2:5" x14ac:dyDescent="0.3">
      <c r="B7" s="2" t="s">
        <v>3</v>
      </c>
      <c r="C7" s="2">
        <f>11000+700</f>
        <v>11700</v>
      </c>
      <c r="D7" s="2" t="s">
        <v>11</v>
      </c>
      <c r="E7" s="2">
        <f>42000+1500</f>
        <v>43500</v>
      </c>
    </row>
    <row r="8" spans="2:5" x14ac:dyDescent="0.3">
      <c r="B8" s="2" t="s">
        <v>4</v>
      </c>
      <c r="C8" s="2">
        <f>9000-9000+2000</f>
        <v>2000</v>
      </c>
      <c r="D8" s="2" t="s">
        <v>12</v>
      </c>
      <c r="E8" s="2">
        <f>10300</f>
        <v>10300</v>
      </c>
    </row>
    <row r="9" spans="2:5" x14ac:dyDescent="0.3">
      <c r="B9" s="2" t="s">
        <v>5</v>
      </c>
      <c r="C9" s="2">
        <f>11000-4500+(9000/4)</f>
        <v>8750</v>
      </c>
      <c r="D9" s="2" t="s">
        <v>13</v>
      </c>
      <c r="E9" s="2">
        <f>800</f>
        <v>800</v>
      </c>
    </row>
    <row r="10" spans="2:5" x14ac:dyDescent="0.3">
      <c r="B10" s="2" t="s">
        <v>6</v>
      </c>
      <c r="C10" s="2">
        <f>8500+4500-700-(12900/2)+(9000*3/4)-1500</f>
        <v>11100</v>
      </c>
      <c r="D10" s="2" t="s">
        <v>14</v>
      </c>
      <c r="E10" s="2">
        <f>12900-(12900/2)+500</f>
        <v>6950</v>
      </c>
    </row>
    <row r="11" spans="2:5" x14ac:dyDescent="0.3">
      <c r="B11" s="2"/>
      <c r="C11" s="2"/>
      <c r="D11" s="2"/>
      <c r="E11" s="2"/>
    </row>
    <row r="12" spans="2:5" x14ac:dyDescent="0.3">
      <c r="B12" s="2" t="s">
        <v>7</v>
      </c>
      <c r="C12" s="2">
        <f>SUM(C5:C10)</f>
        <v>193050</v>
      </c>
      <c r="D12" s="2" t="s">
        <v>7</v>
      </c>
      <c r="E12" s="2">
        <f>SUM(E5:E10)</f>
        <v>193050</v>
      </c>
    </row>
  </sheetData>
  <mergeCells count="2">
    <mergeCell ref="B4:C4"/>
    <mergeCell ref="D4:E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00699-AE89-486B-ABD3-79ACAD28B635}">
  <dimension ref="B4:E12"/>
  <sheetViews>
    <sheetView workbookViewId="0">
      <selection activeCell="D35" sqref="A1:XFD1048576"/>
    </sheetView>
  </sheetViews>
  <sheetFormatPr defaultRowHeight="14.4" x14ac:dyDescent="0.3"/>
  <cols>
    <col min="2" max="2" width="28.33203125" customWidth="1"/>
    <col min="3" max="3" width="16.33203125" customWidth="1"/>
    <col min="4" max="4" width="21.6640625" customWidth="1"/>
    <col min="5" max="5" width="16.44140625" customWidth="1"/>
  </cols>
  <sheetData>
    <row r="4" spans="2:5" x14ac:dyDescent="0.3">
      <c r="B4" s="1" t="s">
        <v>0</v>
      </c>
      <c r="C4" s="1"/>
      <c r="D4" s="1" t="s">
        <v>8</v>
      </c>
      <c r="E4" s="1"/>
    </row>
    <row r="5" spans="2:5" x14ac:dyDescent="0.3">
      <c r="B5" s="2" t="s">
        <v>1</v>
      </c>
      <c r="C5" s="2">
        <f>151000</f>
        <v>151000</v>
      </c>
      <c r="D5" s="2" t="s">
        <v>9</v>
      </c>
      <c r="E5" s="2">
        <f>111000</f>
        <v>111000</v>
      </c>
    </row>
    <row r="6" spans="2:5" x14ac:dyDescent="0.3">
      <c r="B6" s="2" t="s">
        <v>2</v>
      </c>
      <c r="C6" s="2">
        <f>7000+1500</f>
        <v>8500</v>
      </c>
      <c r="D6" s="2" t="s">
        <v>10</v>
      </c>
      <c r="E6" s="2">
        <f>20500</f>
        <v>20500</v>
      </c>
    </row>
    <row r="7" spans="2:5" x14ac:dyDescent="0.3">
      <c r="B7" s="2" t="s">
        <v>3</v>
      </c>
      <c r="C7" s="2">
        <f>11000+700</f>
        <v>11700</v>
      </c>
      <c r="D7" s="2" t="s">
        <v>11</v>
      </c>
      <c r="E7" s="2">
        <f>42000+1500</f>
        <v>43500</v>
      </c>
    </row>
    <row r="8" spans="2:5" x14ac:dyDescent="0.3">
      <c r="B8" s="2" t="s">
        <v>4</v>
      </c>
      <c r="C8" s="2">
        <f>9000-9000+2000-1000</f>
        <v>1000</v>
      </c>
      <c r="D8" s="2" t="s">
        <v>12</v>
      </c>
      <c r="E8" s="2">
        <f>10300</f>
        <v>10300</v>
      </c>
    </row>
    <row r="9" spans="2:5" x14ac:dyDescent="0.3">
      <c r="B9" s="2" t="s">
        <v>5</v>
      </c>
      <c r="C9" s="2">
        <f>11000-4500+(9000/4)</f>
        <v>8750</v>
      </c>
      <c r="D9" s="2" t="s">
        <v>13</v>
      </c>
      <c r="E9" s="2">
        <f>800</f>
        <v>800</v>
      </c>
    </row>
    <row r="10" spans="2:5" x14ac:dyDescent="0.3">
      <c r="B10" s="2" t="s">
        <v>6</v>
      </c>
      <c r="C10" s="2">
        <f>8500+4500-700-(12900/2)+(9000*3/4)-1500+1000</f>
        <v>12100</v>
      </c>
      <c r="D10" s="2" t="s">
        <v>14</v>
      </c>
      <c r="E10" s="2">
        <f>12900-(12900/2)+500</f>
        <v>6950</v>
      </c>
    </row>
    <row r="11" spans="2:5" x14ac:dyDescent="0.3">
      <c r="B11" s="2"/>
      <c r="C11" s="2"/>
      <c r="D11" s="2"/>
      <c r="E11" s="2"/>
    </row>
    <row r="12" spans="2:5" x14ac:dyDescent="0.3">
      <c r="B12" s="2" t="s">
        <v>7</v>
      </c>
      <c r="C12" s="2">
        <f>SUM(C5:C10)</f>
        <v>193050</v>
      </c>
      <c r="D12" s="2" t="s">
        <v>7</v>
      </c>
      <c r="E12" s="2">
        <f>SUM(E5:E10)</f>
        <v>193050</v>
      </c>
    </row>
  </sheetData>
  <mergeCells count="2">
    <mergeCell ref="B4:C4"/>
    <mergeCell ref="D4:E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36618-800B-4931-A276-0AAA5EE076C0}">
  <dimension ref="B4:E12"/>
  <sheetViews>
    <sheetView workbookViewId="0">
      <selection activeCell="A22" sqref="A1:XFD1048576"/>
    </sheetView>
  </sheetViews>
  <sheetFormatPr defaultRowHeight="14.4" x14ac:dyDescent="0.3"/>
  <cols>
    <col min="2" max="2" width="28.33203125" customWidth="1"/>
    <col min="3" max="3" width="16.33203125" customWidth="1"/>
    <col min="4" max="4" width="21.6640625" customWidth="1"/>
    <col min="5" max="5" width="16.44140625" customWidth="1"/>
  </cols>
  <sheetData>
    <row r="4" spans="2:5" x14ac:dyDescent="0.3">
      <c r="B4" s="1" t="s">
        <v>0</v>
      </c>
      <c r="C4" s="1"/>
      <c r="D4" s="1" t="s">
        <v>8</v>
      </c>
      <c r="E4" s="1"/>
    </row>
    <row r="5" spans="2:5" x14ac:dyDescent="0.3">
      <c r="B5" s="2" t="s">
        <v>1</v>
      </c>
      <c r="C5" s="2">
        <f>151000</f>
        <v>151000</v>
      </c>
      <c r="D5" s="2" t="s">
        <v>9</v>
      </c>
      <c r="E5" s="2">
        <f>111000</f>
        <v>111000</v>
      </c>
    </row>
    <row r="6" spans="2:5" x14ac:dyDescent="0.3">
      <c r="B6" s="2" t="s">
        <v>2</v>
      </c>
      <c r="C6" s="2">
        <f>7000+1500</f>
        <v>8500</v>
      </c>
      <c r="D6" s="2" t="s">
        <v>10</v>
      </c>
      <c r="E6" s="2">
        <f>20500</f>
        <v>20500</v>
      </c>
    </row>
    <row r="7" spans="2:5" x14ac:dyDescent="0.3">
      <c r="B7" s="2" t="s">
        <v>3</v>
      </c>
      <c r="C7" s="2">
        <f>11000+700</f>
        <v>11700</v>
      </c>
      <c r="D7" s="2" t="s">
        <v>11</v>
      </c>
      <c r="E7" s="2">
        <f>42000+1500</f>
        <v>43500</v>
      </c>
    </row>
    <row r="8" spans="2:5" x14ac:dyDescent="0.3">
      <c r="B8" s="2" t="s">
        <v>4</v>
      </c>
      <c r="C8" s="2">
        <f>9000-9000+2000-1000</f>
        <v>1000</v>
      </c>
      <c r="D8" s="2" t="s">
        <v>12</v>
      </c>
      <c r="E8" s="2">
        <f>10300-(10300/2)</f>
        <v>5150</v>
      </c>
    </row>
    <row r="9" spans="2:5" x14ac:dyDescent="0.3">
      <c r="B9" s="2" t="s">
        <v>5</v>
      </c>
      <c r="C9" s="2">
        <f>11000-4500+(9000/4)</f>
        <v>8750</v>
      </c>
      <c r="D9" s="2" t="s">
        <v>13</v>
      </c>
      <c r="E9" s="2">
        <f>800</f>
        <v>800</v>
      </c>
    </row>
    <row r="10" spans="2:5" x14ac:dyDescent="0.3">
      <c r="B10" s="2" t="s">
        <v>6</v>
      </c>
      <c r="C10" s="2">
        <f>8500+4500-700-(12900/2)+(9000*3/4)-1500+1000-(10300/2)</f>
        <v>6950</v>
      </c>
      <c r="D10" s="2" t="s">
        <v>14</v>
      </c>
      <c r="E10" s="2">
        <f>12900-(12900/2)+500</f>
        <v>6950</v>
      </c>
    </row>
    <row r="11" spans="2:5" x14ac:dyDescent="0.3">
      <c r="B11" s="2"/>
      <c r="C11" s="2"/>
      <c r="D11" s="2"/>
      <c r="E11" s="2"/>
    </row>
    <row r="12" spans="2:5" x14ac:dyDescent="0.3">
      <c r="B12" s="2" t="s">
        <v>7</v>
      </c>
      <c r="C12" s="2">
        <f>SUM(C5:C10)</f>
        <v>187900</v>
      </c>
      <c r="D12" s="2" t="s">
        <v>7</v>
      </c>
      <c r="E12" s="2">
        <f>SUM(E5:E10)</f>
        <v>187900</v>
      </c>
    </row>
  </sheetData>
  <mergeCells count="2">
    <mergeCell ref="B4:C4"/>
    <mergeCell ref="D4:E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B1B76-4C5C-4600-A51F-17F61A23F1CB}">
  <dimension ref="B4:E12"/>
  <sheetViews>
    <sheetView workbookViewId="0">
      <selection activeCell="B21" sqref="A1:XFD1048576"/>
    </sheetView>
  </sheetViews>
  <sheetFormatPr defaultRowHeight="14.4" x14ac:dyDescent="0.3"/>
  <cols>
    <col min="2" max="2" width="28.33203125" customWidth="1"/>
    <col min="3" max="3" width="16.33203125" customWidth="1"/>
    <col min="4" max="4" width="21.6640625" customWidth="1"/>
    <col min="5" max="5" width="16.44140625" customWidth="1"/>
  </cols>
  <sheetData>
    <row r="4" spans="2:5" x14ac:dyDescent="0.3">
      <c r="B4" s="1" t="s">
        <v>0</v>
      </c>
      <c r="C4" s="1"/>
      <c r="D4" s="1" t="s">
        <v>8</v>
      </c>
      <c r="E4" s="1"/>
    </row>
    <row r="5" spans="2:5" x14ac:dyDescent="0.3">
      <c r="B5" s="2" t="s">
        <v>1</v>
      </c>
      <c r="C5" s="2">
        <f>151000</f>
        <v>151000</v>
      </c>
      <c r="D5" s="2" t="s">
        <v>9</v>
      </c>
      <c r="E5" s="2">
        <f>111000</f>
        <v>111000</v>
      </c>
    </row>
    <row r="6" spans="2:5" x14ac:dyDescent="0.3">
      <c r="B6" s="2" t="s">
        <v>2</v>
      </c>
      <c r="C6" s="2">
        <f>7000+1500</f>
        <v>8500</v>
      </c>
      <c r="D6" s="2" t="s">
        <v>10</v>
      </c>
      <c r="E6" s="2">
        <f>20500</f>
        <v>20500</v>
      </c>
    </row>
    <row r="7" spans="2:5" x14ac:dyDescent="0.3">
      <c r="B7" s="2" t="s">
        <v>3</v>
      </c>
      <c r="C7" s="2">
        <f>11000+700</f>
        <v>11700</v>
      </c>
      <c r="D7" s="2" t="s">
        <v>11</v>
      </c>
      <c r="E7" s="2">
        <f>42000+1500</f>
        <v>43500</v>
      </c>
    </row>
    <row r="8" spans="2:5" x14ac:dyDescent="0.3">
      <c r="B8" s="2" t="s">
        <v>4</v>
      </c>
      <c r="C8" s="2">
        <f>9000-9000+2000-1000</f>
        <v>1000</v>
      </c>
      <c r="D8" s="2" t="s">
        <v>12</v>
      </c>
      <c r="E8" s="2">
        <f>10300-(10300/2)</f>
        <v>5150</v>
      </c>
    </row>
    <row r="9" spans="2:5" x14ac:dyDescent="0.3">
      <c r="B9" s="2" t="s">
        <v>5</v>
      </c>
      <c r="C9" s="2">
        <f>11000-4500+(9000/4)-3000</f>
        <v>5750</v>
      </c>
      <c r="D9" s="2" t="s">
        <v>13</v>
      </c>
      <c r="E9" s="2">
        <f>800</f>
        <v>800</v>
      </c>
    </row>
    <row r="10" spans="2:5" x14ac:dyDescent="0.3">
      <c r="B10" s="2" t="s">
        <v>6</v>
      </c>
      <c r="C10" s="2">
        <f>8500+4500-700-(12900/2)+(9000*3/4)-1500+1000-(10300/2)+3000</f>
        <v>9950</v>
      </c>
      <c r="D10" s="2" t="s">
        <v>14</v>
      </c>
      <c r="E10" s="2">
        <f>12900-(12900/2)+500</f>
        <v>6950</v>
      </c>
    </row>
    <row r="11" spans="2:5" x14ac:dyDescent="0.3">
      <c r="B11" s="2"/>
      <c r="C11" s="2"/>
      <c r="D11" s="2"/>
      <c r="E11" s="2"/>
    </row>
    <row r="12" spans="2:5" x14ac:dyDescent="0.3">
      <c r="B12" s="2" t="s">
        <v>7</v>
      </c>
      <c r="C12" s="2">
        <f>SUM(C5:C10)</f>
        <v>187900</v>
      </c>
      <c r="D12" s="2" t="s">
        <v>7</v>
      </c>
      <c r="E12" s="2">
        <f>SUM(E5:E10)</f>
        <v>187900</v>
      </c>
    </row>
  </sheetData>
  <mergeCells count="2">
    <mergeCell ref="B4:C4"/>
    <mergeCell ref="D4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F7B62-9181-4587-815E-508774A9FC5D}">
  <dimension ref="B4:E12"/>
  <sheetViews>
    <sheetView tabSelected="1" workbookViewId="0">
      <selection activeCell="C11" sqref="C11"/>
    </sheetView>
  </sheetViews>
  <sheetFormatPr defaultRowHeight="14.4" x14ac:dyDescent="0.3"/>
  <cols>
    <col min="2" max="2" width="28.33203125" customWidth="1"/>
    <col min="3" max="3" width="16.33203125" customWidth="1"/>
    <col min="4" max="4" width="21.6640625" customWidth="1"/>
    <col min="5" max="5" width="16.44140625" customWidth="1"/>
  </cols>
  <sheetData>
    <row r="4" spans="2:5" x14ac:dyDescent="0.3">
      <c r="B4" s="1" t="s">
        <v>0</v>
      </c>
      <c r="C4" s="1"/>
      <c r="D4" s="1" t="s">
        <v>8</v>
      </c>
      <c r="E4" s="1"/>
    </row>
    <row r="5" spans="2:5" x14ac:dyDescent="0.3">
      <c r="B5" s="2" t="s">
        <v>1</v>
      </c>
      <c r="C5" s="2">
        <f>151000</f>
        <v>151000</v>
      </c>
      <c r="D5" s="2" t="s">
        <v>9</v>
      </c>
      <c r="E5" s="2">
        <f>111000</f>
        <v>111000</v>
      </c>
    </row>
    <row r="6" spans="2:5" x14ac:dyDescent="0.3">
      <c r="B6" s="2" t="s">
        <v>2</v>
      </c>
      <c r="C6" s="2">
        <f>7000+1500</f>
        <v>8500</v>
      </c>
      <c r="D6" s="2" t="s">
        <v>10</v>
      </c>
      <c r="E6" s="2">
        <f>20500</f>
        <v>20500</v>
      </c>
    </row>
    <row r="7" spans="2:5" x14ac:dyDescent="0.3">
      <c r="B7" s="2" t="s">
        <v>3</v>
      </c>
      <c r="C7" s="2">
        <f>11000+700</f>
        <v>11700</v>
      </c>
      <c r="D7" s="2" t="s">
        <v>11</v>
      </c>
      <c r="E7" s="2">
        <f>42000+1500</f>
        <v>43500</v>
      </c>
    </row>
    <row r="8" spans="2:5" x14ac:dyDescent="0.3">
      <c r="B8" s="2" t="s">
        <v>4</v>
      </c>
      <c r="C8" s="2">
        <f>9000-9000+2000-1000</f>
        <v>1000</v>
      </c>
      <c r="D8" s="2" t="s">
        <v>12</v>
      </c>
      <c r="E8" s="2">
        <f>10300-(10300/2)</f>
        <v>5150</v>
      </c>
    </row>
    <row r="9" spans="2:5" x14ac:dyDescent="0.3">
      <c r="B9" s="2" t="s">
        <v>5</v>
      </c>
      <c r="C9" s="2">
        <f>11000-4500+(9000/4)-3000</f>
        <v>5750</v>
      </c>
      <c r="D9" s="2" t="s">
        <v>13</v>
      </c>
      <c r="E9" s="2">
        <f>800-800</f>
        <v>0</v>
      </c>
    </row>
    <row r="10" spans="2:5" x14ac:dyDescent="0.3">
      <c r="B10" s="2" t="s">
        <v>6</v>
      </c>
      <c r="C10" s="2">
        <f>8500+4500-700-(12900/2)+(9000*3/4)-1500+1000-(10300/2)+3000-800</f>
        <v>9150</v>
      </c>
      <c r="D10" s="2" t="s">
        <v>14</v>
      </c>
      <c r="E10" s="2">
        <f>12900-(12900/2)+500</f>
        <v>6950</v>
      </c>
    </row>
    <row r="11" spans="2:5" x14ac:dyDescent="0.3">
      <c r="B11" s="2"/>
      <c r="C11" s="2"/>
      <c r="D11" s="2"/>
      <c r="E11" s="2"/>
    </row>
    <row r="12" spans="2:5" x14ac:dyDescent="0.3">
      <c r="B12" s="2" t="s">
        <v>7</v>
      </c>
      <c r="C12" s="2">
        <f>SUM(C5:C10)</f>
        <v>187100</v>
      </c>
      <c r="D12" s="2" t="s">
        <v>7</v>
      </c>
      <c r="E12" s="2">
        <f>SUM(E5:E10)</f>
        <v>187100</v>
      </c>
    </row>
  </sheetData>
  <mergeCells count="2">
    <mergeCell ref="B4:C4"/>
    <mergeCell ref="D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 Enero</vt:lpstr>
      <vt:lpstr>2 Enero</vt:lpstr>
      <vt:lpstr>6 Enero</vt:lpstr>
      <vt:lpstr>9 Enero</vt:lpstr>
      <vt:lpstr>11 Enero</vt:lpstr>
      <vt:lpstr>16 Enero</vt:lpstr>
      <vt:lpstr>18 Enero</vt:lpstr>
      <vt:lpstr>20 Enero</vt:lpstr>
      <vt:lpstr>27 Enero</vt:lpstr>
      <vt:lpstr>30 Enero</vt:lpstr>
      <vt:lpstr>31 Enero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XYZ</dc:creator>
  <cp:lastModifiedBy>XYZ</cp:lastModifiedBy>
  <dcterms:created xsi:type="dcterms:W3CDTF">2020-11-05T18:12:21Z</dcterms:created>
  <dcterms:modified xsi:type="dcterms:W3CDTF">2020-11-05T18:47:52Z</dcterms:modified>
</cp:coreProperties>
</file>