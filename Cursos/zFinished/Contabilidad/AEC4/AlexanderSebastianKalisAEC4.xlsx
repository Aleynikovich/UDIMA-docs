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E:\KUKADisk\UDIMA\Contabilidad\AEC4\"/>
    </mc:Choice>
  </mc:AlternateContent>
  <xr:revisionPtr revIDLastSave="0" documentId="13_ncr:1_{D854D074-017F-4782-A5C7-06BE1A7C27BA}" xr6:coauthVersionLast="46" xr6:coauthVersionMax="46" xr10:uidLastSave="{00000000-0000-0000-0000-000000000000}"/>
  <bookViews>
    <workbookView xWindow="0" yWindow="6672" windowWidth="17280" windowHeight="9156" firstSheet="5" activeTab="7" xr2:uid="{00000000-000D-0000-FFFF-FFFF00000000}"/>
  </bookViews>
  <sheets>
    <sheet name="SUPUESTO A.1" sheetId="1" r:id="rId1"/>
    <sheet name="SUPUESTO A.2" sheetId="2" r:id="rId2"/>
    <sheet name="SUPUESTO A.3" sheetId="3" r:id="rId3"/>
    <sheet name="SUPUESTO A.4" sheetId="4" r:id="rId4"/>
    <sheet name="SUPUESTO A.5" sheetId="5" r:id="rId5"/>
    <sheet name="Parte B. Asiento de apertura" sheetId="6" r:id="rId6"/>
    <sheet name="Parte B. Contabilidad 20X1" sheetId="7" r:id="rId7"/>
    <sheet name="Parte B. Asiento reg."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3" i="9" l="1"/>
  <c r="C21" i="9" s="1"/>
  <c r="C22" i="9" s="1"/>
  <c r="D41" i="9" s="1"/>
  <c r="D40" i="9"/>
  <c r="D39" i="9"/>
  <c r="D38" i="9"/>
  <c r="D37" i="9"/>
  <c r="D36" i="9"/>
  <c r="D35" i="9"/>
  <c r="D34" i="9"/>
  <c r="D33" i="9"/>
  <c r="D32" i="9"/>
  <c r="D31" i="9"/>
  <c r="D30" i="9"/>
  <c r="C29" i="9"/>
  <c r="C28" i="9"/>
  <c r="C27" i="9"/>
  <c r="C26" i="9"/>
  <c r="C10" i="9"/>
  <c r="C11" i="9"/>
  <c r="C12" i="9"/>
  <c r="C14" i="9"/>
  <c r="C15" i="9"/>
  <c r="C16" i="9"/>
  <c r="C17" i="9"/>
  <c r="C18" i="9"/>
  <c r="C19" i="9"/>
  <c r="C20" i="9"/>
  <c r="C9" i="9"/>
  <c r="C8" i="9"/>
  <c r="C4" i="9"/>
  <c r="C6" i="9" s="1"/>
  <c r="C5" i="9"/>
  <c r="C3" i="9"/>
  <c r="C242" i="7"/>
  <c r="D244" i="7" s="1"/>
  <c r="D243" i="7"/>
  <c r="D237" i="7"/>
  <c r="C236" i="7"/>
  <c r="D233" i="7"/>
  <c r="C232" i="7"/>
  <c r="D224" i="7"/>
  <c r="D222" i="7"/>
  <c r="C210" i="7"/>
  <c r="C211" i="7"/>
  <c r="C188" i="7"/>
  <c r="D189" i="7" s="1"/>
  <c r="D193" i="7" s="1"/>
  <c r="D182" i="7"/>
  <c r="D174" i="7"/>
  <c r="C173" i="7"/>
  <c r="D165" i="7"/>
  <c r="C164" i="7"/>
  <c r="D166" i="7" s="1"/>
  <c r="D156" i="7"/>
  <c r="C154" i="7" s="1"/>
  <c r="C138" i="7"/>
  <c r="C110" i="7"/>
  <c r="C109" i="7" s="1"/>
  <c r="C73" i="7"/>
  <c r="C77" i="7" s="1"/>
  <c r="D58" i="7"/>
  <c r="C49" i="7"/>
  <c r="D50" i="7" s="1"/>
  <c r="C16" i="7"/>
  <c r="D17" i="7" s="1"/>
  <c r="D18" i="6"/>
  <c r="C18" i="6"/>
  <c r="D24" i="3"/>
  <c r="C23" i="3"/>
  <c r="G23" i="3"/>
  <c r="B10" i="2"/>
  <c r="B11" i="2" s="1"/>
  <c r="D93" i="7" l="1"/>
  <c r="C91" i="7" s="1"/>
  <c r="C139" i="7"/>
  <c r="D140" i="7" s="1"/>
  <c r="C96" i="7"/>
  <c r="D97" i="7" s="1"/>
  <c r="C82" i="7"/>
  <c r="D78" i="7"/>
  <c r="D83" i="7" s="1"/>
  <c r="C81" i="7" s="1"/>
  <c r="D74" i="7"/>
  <c r="C192" i="7"/>
  <c r="G12" i="2"/>
  <c r="F11" i="2"/>
</calcChain>
</file>

<file path=xl/sharedStrings.xml><?xml version="1.0" encoding="utf-8"?>
<sst xmlns="http://schemas.openxmlformats.org/spreadsheetml/2006/main" count="360" uniqueCount="112">
  <si>
    <t>Código</t>
  </si>
  <si>
    <t>Cuenta</t>
  </si>
  <si>
    <t>Debe</t>
  </si>
  <si>
    <t>Haber</t>
  </si>
  <si>
    <t>Tesoreria</t>
  </si>
  <si>
    <t>Créditos a corto plazo por enajenación de inmovilizado</t>
  </si>
  <si>
    <t>Amortización acumulada del inmovilizado material</t>
  </si>
  <si>
    <t>Pérdidas procedentes de inmovilizado material</t>
  </si>
  <si>
    <t>Terrenos y bienes naturales</t>
  </si>
  <si>
    <t>Construcciones</t>
  </si>
  <si>
    <t>Año de cuota</t>
  </si>
  <si>
    <t>Duración del préstamo</t>
  </si>
  <si>
    <t>Base amortizable</t>
  </si>
  <si>
    <t>Cuota annual</t>
  </si>
  <si>
    <t>Maquinaria</t>
  </si>
  <si>
    <t>Bancos</t>
  </si>
  <si>
    <t>Amortización del inmovilizado material</t>
  </si>
  <si>
    <t>31/12/20X6</t>
  </si>
  <si>
    <t>Construcciones en curso</t>
  </si>
  <si>
    <t>Trabajos realizados para el inmovilizado materia</t>
  </si>
  <si>
    <t>01/06/20X7</t>
  </si>
  <si>
    <t>Trabajos realizados para el inmovilizado material</t>
  </si>
  <si>
    <t>31/12/20X7</t>
  </si>
  <si>
    <t>Base amortizacion</t>
  </si>
  <si>
    <t>Amortizacion annual</t>
  </si>
  <si>
    <t>15/09/20X7</t>
  </si>
  <si>
    <t>Clientes, efectos comerciales a cobrar</t>
  </si>
  <si>
    <t>Venta de mercaderías</t>
  </si>
  <si>
    <t>01/11/20X7</t>
  </si>
  <si>
    <t>Banco</t>
  </si>
  <si>
    <t>01/12/20X7</t>
  </si>
  <si>
    <t>Compra de mercaderías</t>
  </si>
  <si>
    <t>Proveedores, efectos comerciales a cobrar</t>
  </si>
  <si>
    <t>Mobiliario</t>
  </si>
  <si>
    <t>Equipos informáticos</t>
  </si>
  <si>
    <t>Mercaderías</t>
  </si>
  <si>
    <t>Clientes</t>
  </si>
  <si>
    <t>Inversiones financieras temporales en instrumentos de patrimonio</t>
  </si>
  <si>
    <t>Caja</t>
  </si>
  <si>
    <t>Capital Social</t>
  </si>
  <si>
    <t>Reservas</t>
  </si>
  <si>
    <t>Subvenciones oficiales de capital</t>
  </si>
  <si>
    <t>Deudas a largo plazo</t>
  </si>
  <si>
    <t>Deudas a corto plazo</t>
  </si>
  <si>
    <t>Proveedores</t>
  </si>
  <si>
    <t>Acreedores por prestaciones de servicio</t>
  </si>
  <si>
    <t>TOTAL</t>
  </si>
  <si>
    <t>Sueldos</t>
  </si>
  <si>
    <t>Seguridad Social</t>
  </si>
  <si>
    <t>Seguridad Social, acreedores</t>
  </si>
  <si>
    <t>Pérdidas de créditos comerciales incobrables</t>
  </si>
  <si>
    <t>Suministros</t>
  </si>
  <si>
    <t>Ventas de mercaderías</t>
  </si>
  <si>
    <t>Efectos comerciales en cartera</t>
  </si>
  <si>
    <t>Efectos comerciales en gestión de cobro</t>
  </si>
  <si>
    <t>Efectos comerciales descontados</t>
  </si>
  <si>
    <t>Intereses por descuento de efectos y factoring</t>
  </si>
  <si>
    <t>Deudas por efectos descontados</t>
  </si>
  <si>
    <t>Servicios bancarios y similares</t>
  </si>
  <si>
    <t>Otros ingresos financieros</t>
  </si>
  <si>
    <t>Beneficios procedentes del inmovilizado material</t>
  </si>
  <si>
    <t>Inversiones financieras</t>
  </si>
  <si>
    <t>Tributos</t>
  </si>
  <si>
    <t>Servicios de profesionales independientes</t>
  </si>
  <si>
    <t>Proveedores de inmovilizado a largo plazo</t>
  </si>
  <si>
    <t>Intereses de deuda</t>
  </si>
  <si>
    <t>Inversiones financieras a l/p instrumentos de patrimonio</t>
  </si>
  <si>
    <t>Beneficios activos financieros disponibles para la venta</t>
  </si>
  <si>
    <t xml:space="preserve">Ajustes por valoración en activos financieros </t>
  </si>
  <si>
    <t>Equipos para procesos de información</t>
  </si>
  <si>
    <t>Equipos para procesos de información (entregados)</t>
  </si>
  <si>
    <t>Fecha</t>
  </si>
  <si>
    <t>Operación</t>
  </si>
  <si>
    <t>Uds</t>
  </si>
  <si>
    <t>PA</t>
  </si>
  <si>
    <t>OUT</t>
  </si>
  <si>
    <t>IN</t>
  </si>
  <si>
    <t>Existencias iniciales</t>
  </si>
  <si>
    <t>1
2</t>
  </si>
  <si>
    <t>1700
2700</t>
  </si>
  <si>
    <t>1000*20
1700*20.5</t>
  </si>
  <si>
    <t>Compra mercaderías
Existencias</t>
  </si>
  <si>
    <t>Venta mercderías
Existencias</t>
  </si>
  <si>
    <t>30
2670</t>
  </si>
  <si>
    <t>30*20</t>
  </si>
  <si>
    <t>970*20
1700*20.5</t>
  </si>
  <si>
    <t>5000
7670</t>
  </si>
  <si>
    <t>970*20
1700*20.5
5000*21</t>
  </si>
  <si>
    <t>6500
1170</t>
  </si>
  <si>
    <t>970*20
1700*20.5
3830*21</t>
  </si>
  <si>
    <t>1170*21</t>
  </si>
  <si>
    <t>Variacion de existencias</t>
  </si>
  <si>
    <t>Mercaderias</t>
  </si>
  <si>
    <t>Varacioón de existencias</t>
  </si>
  <si>
    <t>Pérdidas por deterioro de existencias</t>
  </si>
  <si>
    <t>Deterioro por valor de mercaderías</t>
  </si>
  <si>
    <t>HP</t>
  </si>
  <si>
    <t>HP, IVA repercutido</t>
  </si>
  <si>
    <t>HP, IVA soportado</t>
  </si>
  <si>
    <t>HP, acreedora por retenciones practicadas</t>
  </si>
  <si>
    <t>HP, acreedora por IVA</t>
  </si>
  <si>
    <t>HP, IVA Soportado</t>
  </si>
  <si>
    <t>Total</t>
  </si>
  <si>
    <t>Ingresos</t>
  </si>
  <si>
    <t>Beneficios procedentes del Inmovilizado material</t>
  </si>
  <si>
    <t>Gastos</t>
  </si>
  <si>
    <t>Resultado antes de impuestos</t>
  </si>
  <si>
    <t>Variación de existencias de mercaderías</t>
  </si>
  <si>
    <t>Otros tributos</t>
  </si>
  <si>
    <t>Sueldos y salarios</t>
  </si>
  <si>
    <t>Seguridad Social a cargo de la empresa</t>
  </si>
  <si>
    <t>Pérdidas y ganancias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</si>
</sst>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0">
    <xf numFmtId="0" fontId="0" fillId="0" borderId="0" xfId="0"/>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0" fillId="0" borderId="10" xfId="0" applyBorder="1"/>
    <xf numFmtId="0" fontId="0" fillId="0" borderId="10" xfId="0" applyBorder="1" applyAlignment="1">
      <alignment horizontal="center" vertical="center"/>
    </xf>
    <xf numFmtId="0" fontId="0" fillId="0" borderId="11" xfId="0" applyBorder="1" applyAlignment="1">
      <alignment horizontal="center" vertical="center"/>
    </xf>
    <xf numFmtId="0" fontId="0" fillId="0" borderId="2"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2" xfId="0" applyBorder="1" applyAlignment="1">
      <alignment horizontal="right" vertical="center"/>
    </xf>
    <xf numFmtId="0" fontId="0" fillId="0" borderId="4" xfId="0" applyBorder="1" applyAlignment="1">
      <alignment horizontal="right" vertical="center"/>
    </xf>
    <xf numFmtId="0" fontId="0" fillId="0" borderId="10" xfId="0" applyBorder="1" applyAlignment="1">
      <alignment horizontal="right" vertical="center"/>
    </xf>
    <xf numFmtId="0" fontId="0" fillId="0" borderId="6" xfId="0" applyBorder="1" applyAlignment="1">
      <alignment horizontal="right" vertical="center"/>
    </xf>
    <xf numFmtId="0" fontId="0" fillId="0" borderId="11" xfId="0" applyBorder="1" applyAlignment="1">
      <alignment horizontal="right" vertical="center"/>
    </xf>
    <xf numFmtId="0" fontId="0" fillId="0" borderId="9" xfId="0" applyBorder="1" applyAlignment="1">
      <alignment horizontal="right" vertical="center"/>
    </xf>
    <xf numFmtId="0" fontId="0" fillId="0" borderId="10" xfId="0" applyBorder="1" applyAlignment="1">
      <alignment horizontal="center"/>
    </xf>
    <xf numFmtId="0" fontId="0" fillId="0" borderId="1" xfId="0" applyBorder="1" applyAlignment="1">
      <alignment horizontal="center"/>
    </xf>
    <xf numFmtId="0" fontId="0" fillId="0" borderId="11" xfId="0" applyBorder="1" applyAlignment="1">
      <alignment horizontal="center"/>
    </xf>
    <xf numFmtId="0" fontId="0" fillId="0" borderId="8" xfId="0" applyBorder="1"/>
    <xf numFmtId="0" fontId="0" fillId="0" borderId="0" xfId="0" applyAlignment="1">
      <alignment horizontal="right"/>
    </xf>
    <xf numFmtId="0" fontId="0" fillId="0" borderId="2" xfId="0" applyBorder="1"/>
    <xf numFmtId="0" fontId="0" fillId="0" borderId="11" xfId="0" applyBorder="1"/>
    <xf numFmtId="0" fontId="0" fillId="0" borderId="11" xfId="0" applyBorder="1" applyAlignment="1">
      <alignment horizontal="right"/>
    </xf>
    <xf numFmtId="0" fontId="0" fillId="0" borderId="2" xfId="0" applyBorder="1" applyAlignment="1">
      <alignment horizontal="right"/>
    </xf>
    <xf numFmtId="0" fontId="1" fillId="0" borderId="12" xfId="0" applyFont="1" applyBorder="1" applyAlignment="1">
      <alignment horizontal="center" vertical="center"/>
    </xf>
    <xf numFmtId="11" fontId="0" fillId="0" borderId="2" xfId="0" applyNumberFormat="1" applyBorder="1"/>
    <xf numFmtId="11" fontId="0" fillId="0" borderId="10" xfId="0" applyNumberFormat="1" applyBorder="1"/>
    <xf numFmtId="11" fontId="0" fillId="0" borderId="11" xfId="0" applyNumberFormat="1" applyBorder="1"/>
    <xf numFmtId="0" fontId="0" fillId="0" borderId="10" xfId="0" applyBorder="1" applyAlignment="1">
      <alignment horizontal="right"/>
    </xf>
    <xf numFmtId="0" fontId="1" fillId="0" borderId="1" xfId="0" applyFont="1" applyFill="1" applyBorder="1" applyAlignment="1">
      <alignment horizontal="center" vertical="center"/>
    </xf>
    <xf numFmtId="0" fontId="0" fillId="0" borderId="1" xfId="0" applyBorder="1"/>
    <xf numFmtId="0" fontId="1" fillId="0" borderId="1" xfId="0" applyFont="1" applyBorder="1"/>
    <xf numFmtId="0" fontId="0" fillId="0" borderId="3" xfId="0" applyBorder="1"/>
    <xf numFmtId="0" fontId="0" fillId="0" borderId="4" xfId="0" applyBorder="1"/>
    <xf numFmtId="0" fontId="0" fillId="0" borderId="7" xfId="0" applyBorder="1"/>
    <xf numFmtId="0" fontId="0" fillId="0" borderId="9" xfId="0" applyBorder="1"/>
    <xf numFmtId="0" fontId="0" fillId="0" borderId="0" xfId="0" applyAlignment="1">
      <alignment horizontal="left"/>
    </xf>
    <xf numFmtId="0" fontId="1" fillId="0" borderId="12" xfId="0" applyFont="1" applyBorder="1" applyAlignment="1">
      <alignment horizontal="left" vertical="center"/>
    </xf>
    <xf numFmtId="0" fontId="1" fillId="0" borderId="1" xfId="0" applyFont="1" applyBorder="1" applyAlignment="1">
      <alignment horizontal="left" vertical="center"/>
    </xf>
    <xf numFmtId="0" fontId="0" fillId="0" borderId="3" xfId="0" applyBorder="1" applyAlignment="1">
      <alignment horizontal="left"/>
    </xf>
    <xf numFmtId="0" fontId="0" fillId="0" borderId="5" xfId="0" applyBorder="1" applyAlignment="1">
      <alignment horizontal="left"/>
    </xf>
    <xf numFmtId="0" fontId="0" fillId="0" borderId="6" xfId="0" applyBorder="1"/>
    <xf numFmtId="0" fontId="0" fillId="0" borderId="7" xfId="0" applyBorder="1" applyAlignment="1">
      <alignment horizontal="left"/>
    </xf>
    <xf numFmtId="0" fontId="0" fillId="0" borderId="2"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13" xfId="0" applyBorder="1" applyAlignment="1">
      <alignment horizontal="left"/>
    </xf>
    <xf numFmtId="0" fontId="0" fillId="0" borderId="12" xfId="0" applyBorder="1"/>
    <xf numFmtId="49" fontId="0" fillId="0" borderId="0" xfId="0" applyNumberFormat="1" applyAlignment="1" applyProtection="1">
      <alignment horizontal="center" vertical="center" wrapText="1"/>
      <protection locked="0"/>
    </xf>
    <xf numFmtId="0" fontId="0" fillId="0" borderId="0" xfId="0" applyFill="1" applyBorder="1" applyAlignment="1">
      <alignment horizontal="center" vertical="center"/>
    </xf>
    <xf numFmtId="0" fontId="1" fillId="0" borderId="13" xfId="0" applyFont="1" applyBorder="1" applyAlignment="1">
      <alignment horizontal="center"/>
    </xf>
    <xf numFmtId="0" fontId="1" fillId="0" borderId="14" xfId="0" applyFont="1" applyBorder="1" applyAlignment="1">
      <alignment horizontal="center"/>
    </xf>
    <xf numFmtId="0" fontId="1" fillId="0" borderId="12" xfId="0" applyFont="1" applyBorder="1" applyAlignment="1">
      <alignment horizontal="center"/>
    </xf>
    <xf numFmtId="0" fontId="0" fillId="0" borderId="1" xfId="0" applyBorder="1" applyAlignment="1">
      <alignment horizontal="center"/>
    </xf>
    <xf numFmtId="0" fontId="0" fillId="0" borderId="1" xfId="0" applyFill="1" applyBorder="1" applyAlignment="1">
      <alignment horizontal="center"/>
    </xf>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178150</xdr:rowOff>
    </xdr:from>
    <xdr:to>
      <xdr:col>16</xdr:col>
      <xdr:colOff>342900</xdr:colOff>
      <xdr:row>5</xdr:row>
      <xdr:rowOff>93279</xdr:rowOff>
    </xdr:to>
    <xdr:sp macro="" textlink="">
      <xdr:nvSpPr>
        <xdr:cNvPr id="2" name="TextBox 1">
          <a:extLst>
            <a:ext uri="{FF2B5EF4-FFF2-40B4-BE49-F238E27FC236}">
              <a16:creationId xmlns:a16="http://schemas.microsoft.com/office/drawing/2014/main" id="{25B3A143-68BC-49CB-871B-14DE4A755417}"/>
            </a:ext>
          </a:extLst>
        </xdr:cNvPr>
        <xdr:cNvSpPr txBox="1"/>
      </xdr:nvSpPr>
      <xdr:spPr>
        <a:xfrm>
          <a:off x="0" y="178150"/>
          <a:ext cx="11726917" cy="8347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El 3 de octubre de 20X8 la sociedad Jukei, S.A. vende uno de los locales de negocio en el que desarrolla su actividad por 100.000 euros, pactando con el comprador las condiciones de pago: un 30 % en el momento de la firma del contrato de compraventa y el resto el 15 de enero del 20X9. SE PIDE: registre contablemente la operación de Jukei, S.A. el 3 de octubre, día de la compraventa, sabiendo en esa fecha el valor en libros del local: Terreno y bienes naturales: 100.000 euros Construcciones: 150.000 euros (Precio de adquisición 200.000 euros; Amortización Acumulada: 50.000 euros).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171451</xdr:rowOff>
    </xdr:from>
    <xdr:to>
      <xdr:col>8</xdr:col>
      <xdr:colOff>181927</xdr:colOff>
      <xdr:row>5</xdr:row>
      <xdr:rowOff>167640</xdr:rowOff>
    </xdr:to>
    <xdr:sp macro="" textlink="">
      <xdr:nvSpPr>
        <xdr:cNvPr id="2" name="TextBox 1">
          <a:extLst>
            <a:ext uri="{FF2B5EF4-FFF2-40B4-BE49-F238E27FC236}">
              <a16:creationId xmlns:a16="http://schemas.microsoft.com/office/drawing/2014/main" id="{F4D8949A-546C-4761-A0E1-225AD709B6FA}"/>
            </a:ext>
          </a:extLst>
        </xdr:cNvPr>
        <xdr:cNvSpPr txBox="1"/>
      </xdr:nvSpPr>
      <xdr:spPr>
        <a:xfrm>
          <a:off x="19051" y="171451"/>
          <a:ext cx="10119424" cy="915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La sociedad Jukei II S.A. se dedica a la explotación de una autopista y adquiere el 1 de febrero de 20X8 una maquinaria para el peaje por importe de 100.000 euros que se abona mediante transferencia bancaria. Con relación al método de amortización del inmovilizado adquirido, considera que el más adecuado es el método de números dígitos creciente (método proporcional a la serie de números naturales creciente) . El valor residual de la maquinaria se estima insignificante y su vida útil de 10 años.</a:t>
          </a:r>
        </a:p>
        <a:p>
          <a:r>
            <a:rPr lang="en-US"/>
            <a:t>SE PIDE: registre contablemente la adquisición de maquinaria el 1 de febrero y la dotación por amortización al cierre del ejercicio 20X8.</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1</xdr:row>
      <xdr:rowOff>0</xdr:rowOff>
    </xdr:from>
    <xdr:to>
      <xdr:col>17</xdr:col>
      <xdr:colOff>114300</xdr:colOff>
      <xdr:row>6</xdr:row>
      <xdr:rowOff>95250</xdr:rowOff>
    </xdr:to>
    <xdr:sp macro="" textlink="">
      <xdr:nvSpPr>
        <xdr:cNvPr id="2" name="TextBox 1">
          <a:extLst>
            <a:ext uri="{FF2B5EF4-FFF2-40B4-BE49-F238E27FC236}">
              <a16:creationId xmlns:a16="http://schemas.microsoft.com/office/drawing/2014/main" id="{50D1BDF3-31B3-4FD3-A30B-44387A40C066}"/>
            </a:ext>
          </a:extLst>
        </xdr:cNvPr>
        <xdr:cNvSpPr txBox="1"/>
      </xdr:nvSpPr>
      <xdr:spPr>
        <a:xfrm>
          <a:off x="1" y="183173"/>
          <a:ext cx="12929087" cy="1011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Una constructora comenzó el 1 de enero de 20X6 la construcción del edificio donde radicarán sus oficinas en el futuro. En dicho año de los 700.000 euros de gastos reflejados en la cuenta de pérdidas y ganancias, 200.000 euros corresponden, según los datos del departamento de contabilidad de costes, a los relativos a la construcción del edificio de oficinas. El 31 de diciembre de 20X6 el edificio no estaba terminado. A lo largo de 20X7 continúo la construcción del edificio. En ese año los costes imputables al mismo ascendieron a 100.000 euros. El edificio quedó terminado y dispuesto para su uso el 1 de junio de 20X7. SE PIDE: contabilice la incorporación del edificio de oficinas al inmovilizado de la empresa y la amortización que corresponda en las siguientes fechas: 31/12/20X6, 1/06/20X7 y 31/12/20X7. Nota: el criterio de amortización será un 4% anual del valor inicial de las oficinas (base de amortización). </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19051</xdr:colOff>
      <xdr:row>0</xdr:row>
      <xdr:rowOff>171450</xdr:rowOff>
    </xdr:from>
    <xdr:to>
      <xdr:col>13</xdr:col>
      <xdr:colOff>590551</xdr:colOff>
      <xdr:row>4</xdr:row>
      <xdr:rowOff>64770</xdr:rowOff>
    </xdr:to>
    <xdr:sp macro="" textlink="">
      <xdr:nvSpPr>
        <xdr:cNvPr id="2" name="TextBox 1">
          <a:extLst>
            <a:ext uri="{FF2B5EF4-FFF2-40B4-BE49-F238E27FC236}">
              <a16:creationId xmlns:a16="http://schemas.microsoft.com/office/drawing/2014/main" id="{D3E74785-BD42-4F8C-9EB9-10BBED54BE2C}"/>
            </a:ext>
          </a:extLst>
        </xdr:cNvPr>
        <xdr:cNvSpPr txBox="1"/>
      </xdr:nvSpPr>
      <xdr:spPr>
        <a:xfrm>
          <a:off x="19051" y="171450"/>
          <a:ext cx="8496300" cy="617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Una empresa vende el 15 de octubre de 20X7 mercaderías por valor de 2.000 euros. El cobro se realizará en dos recibos de 1.050 euros, los días 1 de noviembre y 1 de diciembre de 20X7. Suponemos que el interés no es contractual y el efecto de no actualizar los flujos no es significativo.</a:t>
          </a:r>
        </a:p>
        <a:p>
          <a:r>
            <a:rPr lang="en-US"/>
            <a:t>SE PIDE: registrar las operaciones que correspondan (15/9 y 1/11 y 1/12).</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0</xdr:row>
      <xdr:rowOff>171450</xdr:rowOff>
    </xdr:from>
    <xdr:to>
      <xdr:col>12</xdr:col>
      <xdr:colOff>231913</xdr:colOff>
      <xdr:row>3</xdr:row>
      <xdr:rowOff>149087</xdr:rowOff>
    </xdr:to>
    <xdr:sp macro="" textlink="">
      <xdr:nvSpPr>
        <xdr:cNvPr id="2" name="TextBox 1">
          <a:extLst>
            <a:ext uri="{FF2B5EF4-FFF2-40B4-BE49-F238E27FC236}">
              <a16:creationId xmlns:a16="http://schemas.microsoft.com/office/drawing/2014/main" id="{C15AEF28-9023-424D-9EEA-395D1CA6C2B1}"/>
            </a:ext>
          </a:extLst>
        </xdr:cNvPr>
        <xdr:cNvSpPr txBox="1"/>
      </xdr:nvSpPr>
      <xdr:spPr>
        <a:xfrm>
          <a:off x="19050" y="171450"/>
          <a:ext cx="10259667" cy="5242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Una empresa compra el 1 de enero de 20X0 mercaderías por valor de 8.958,24 euros. El pago de la compra se realizará el 31 de diciembre de 20X1 mediante un recibo de 9.600 euros. Los intereses de aplazamiento resultantes no tienen carácter contractual y suponemos que el efecto de no actualizar los flujos de efectivo no es significativo. SE PIDE: </a:t>
          </a:r>
          <a:endParaRPr lang="en-US" sz="1100"/>
        </a:p>
      </xdr:txBody>
    </xdr:sp>
    <xdr:clientData/>
  </xdr:twoCellAnchor>
  <xdr:twoCellAnchor>
    <xdr:from>
      <xdr:col>0</xdr:col>
      <xdr:colOff>59054</xdr:colOff>
      <xdr:row>7</xdr:row>
      <xdr:rowOff>19050</xdr:rowOff>
    </xdr:from>
    <xdr:to>
      <xdr:col>12</xdr:col>
      <xdr:colOff>207066</xdr:colOff>
      <xdr:row>9</xdr:row>
      <xdr:rowOff>163830</xdr:rowOff>
    </xdr:to>
    <xdr:sp macro="" textlink="">
      <xdr:nvSpPr>
        <xdr:cNvPr id="3" name="TextBox 2">
          <a:extLst>
            <a:ext uri="{FF2B5EF4-FFF2-40B4-BE49-F238E27FC236}">
              <a16:creationId xmlns:a16="http://schemas.microsoft.com/office/drawing/2014/main" id="{FF35FFD1-4FBC-4785-88E5-DCA8434A8E2C}"/>
            </a:ext>
          </a:extLst>
        </xdr:cNvPr>
        <xdr:cNvSpPr txBox="1"/>
      </xdr:nvSpPr>
      <xdr:spPr>
        <a:xfrm>
          <a:off x="59054" y="1294572"/>
          <a:ext cx="10194816" cy="5092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a) ¿Podría registrar contablemente esta operación incorporando los intereses a la deuda al no tener los intereses carácter contractual y , además, al suponerse que el efecto de no actualizar los flujos de efectivo no es significativo? Nota: responda sí o no, indicando el motivo, pero sin realizar asientos contables</a:t>
          </a:r>
          <a:endParaRPr lang="en-US" sz="1100"/>
        </a:p>
      </xdr:txBody>
    </xdr:sp>
    <xdr:clientData/>
  </xdr:twoCellAnchor>
  <xdr:twoCellAnchor>
    <xdr:from>
      <xdr:col>1</xdr:col>
      <xdr:colOff>16566</xdr:colOff>
      <xdr:row>10</xdr:row>
      <xdr:rowOff>60546</xdr:rowOff>
    </xdr:from>
    <xdr:to>
      <xdr:col>9</xdr:col>
      <xdr:colOff>180313</xdr:colOff>
      <xdr:row>12</xdr:row>
      <xdr:rowOff>0</xdr:rowOff>
    </xdr:to>
    <xdr:sp macro="" textlink="">
      <xdr:nvSpPr>
        <xdr:cNvPr id="4" name="TextBox 3">
          <a:extLst>
            <a:ext uri="{FF2B5EF4-FFF2-40B4-BE49-F238E27FC236}">
              <a16:creationId xmlns:a16="http://schemas.microsoft.com/office/drawing/2014/main" id="{8011C19A-7D02-426A-80ED-715386F6AE87}"/>
            </a:ext>
          </a:extLst>
        </xdr:cNvPr>
        <xdr:cNvSpPr txBox="1"/>
      </xdr:nvSpPr>
      <xdr:spPr>
        <a:xfrm>
          <a:off x="629479" y="1882720"/>
          <a:ext cx="5067051" cy="3038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 No, ya que se trata de una deuda a largo plazo por ser</a:t>
          </a:r>
          <a:r>
            <a:rPr lang="en-US" sz="1100" baseline="0"/>
            <a:t> mayor a un año.</a:t>
          </a:r>
          <a:endParaRPr lang="en-US" sz="1100"/>
        </a:p>
      </xdr:txBody>
    </xdr:sp>
    <xdr:clientData/>
  </xdr:twoCellAnchor>
  <xdr:twoCellAnchor>
    <xdr:from>
      <xdr:col>0</xdr:col>
      <xdr:colOff>41413</xdr:colOff>
      <xdr:row>13</xdr:row>
      <xdr:rowOff>173271</xdr:rowOff>
    </xdr:from>
    <xdr:to>
      <xdr:col>12</xdr:col>
      <xdr:colOff>210876</xdr:colOff>
      <xdr:row>16</xdr:row>
      <xdr:rowOff>124238</xdr:rowOff>
    </xdr:to>
    <xdr:sp macro="" textlink="">
      <xdr:nvSpPr>
        <xdr:cNvPr id="5" name="TextBox 4">
          <a:extLst>
            <a:ext uri="{FF2B5EF4-FFF2-40B4-BE49-F238E27FC236}">
              <a16:creationId xmlns:a16="http://schemas.microsoft.com/office/drawing/2014/main" id="{880C58FC-2AE8-4916-8BEF-EA134A67C3E7}"/>
            </a:ext>
          </a:extLst>
        </xdr:cNvPr>
        <xdr:cNvSpPr txBox="1"/>
      </xdr:nvSpPr>
      <xdr:spPr>
        <a:xfrm>
          <a:off x="41413" y="2542097"/>
          <a:ext cx="10216267" cy="4976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b) Registre contablemente la operación suponiendo que la fecha de pago pactada para los 9.600 euros fuese el 30 de marzo de 20X0 en vez del 31 de diciembre de 20X1. (Opte por el registro contable más sencillo).</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161925</xdr:rowOff>
    </xdr:from>
    <xdr:to>
      <xdr:col>3</xdr:col>
      <xdr:colOff>634859</xdr:colOff>
      <xdr:row>3</xdr:row>
      <xdr:rowOff>17180</xdr:rowOff>
    </xdr:to>
    <xdr:pic>
      <xdr:nvPicPr>
        <xdr:cNvPr id="2" name="Picture 1">
          <a:extLst>
            <a:ext uri="{FF2B5EF4-FFF2-40B4-BE49-F238E27FC236}">
              <a16:creationId xmlns:a16="http://schemas.microsoft.com/office/drawing/2014/main" id="{B8DB580C-8DF9-4946-AE7A-BC358961EA4F}"/>
            </a:ext>
          </a:extLst>
        </xdr:cNvPr>
        <xdr:cNvPicPr>
          <a:picLocks noChangeAspect="1"/>
        </xdr:cNvPicPr>
      </xdr:nvPicPr>
      <xdr:blipFill>
        <a:blip xmlns:r="http://schemas.openxmlformats.org/officeDocument/2006/relationships" r:embed="rId1"/>
        <a:stretch>
          <a:fillRect/>
        </a:stretch>
      </xdr:blipFill>
      <xdr:spPr>
        <a:xfrm>
          <a:off x="0" y="161925"/>
          <a:ext cx="5686918" cy="405800"/>
        </a:xfrm>
        <a:prstGeom prst="rect">
          <a:avLst/>
        </a:prstGeom>
      </xdr:spPr>
    </xdr:pic>
    <xdr:clientData/>
  </xdr:twoCellAnchor>
  <xdr:twoCellAnchor editAs="oneCell">
    <xdr:from>
      <xdr:col>0</xdr:col>
      <xdr:colOff>0</xdr:colOff>
      <xdr:row>10</xdr:row>
      <xdr:rowOff>14654</xdr:rowOff>
    </xdr:from>
    <xdr:to>
      <xdr:col>3</xdr:col>
      <xdr:colOff>630901</xdr:colOff>
      <xdr:row>11</xdr:row>
      <xdr:rowOff>172504</xdr:rowOff>
    </xdr:to>
    <xdr:pic>
      <xdr:nvPicPr>
        <xdr:cNvPr id="3" name="Picture 2">
          <a:extLst>
            <a:ext uri="{FF2B5EF4-FFF2-40B4-BE49-F238E27FC236}">
              <a16:creationId xmlns:a16="http://schemas.microsoft.com/office/drawing/2014/main" id="{0982C8EA-5FF7-486C-B60E-D4E31AE8BFE5}"/>
            </a:ext>
          </a:extLst>
        </xdr:cNvPr>
        <xdr:cNvPicPr>
          <a:picLocks noChangeAspect="1"/>
        </xdr:cNvPicPr>
      </xdr:nvPicPr>
      <xdr:blipFill>
        <a:blip xmlns:r="http://schemas.openxmlformats.org/officeDocument/2006/relationships" r:embed="rId2"/>
        <a:stretch>
          <a:fillRect/>
        </a:stretch>
      </xdr:blipFill>
      <xdr:spPr>
        <a:xfrm>
          <a:off x="0" y="1846385"/>
          <a:ext cx="5679297" cy="325783"/>
        </a:xfrm>
        <a:prstGeom prst="rect">
          <a:avLst/>
        </a:prstGeom>
      </xdr:spPr>
    </xdr:pic>
    <xdr:clientData/>
  </xdr:twoCellAnchor>
  <xdr:twoCellAnchor editAs="oneCell">
    <xdr:from>
      <xdr:col>0</xdr:col>
      <xdr:colOff>22273</xdr:colOff>
      <xdr:row>18</xdr:row>
      <xdr:rowOff>76328</xdr:rowOff>
    </xdr:from>
    <xdr:to>
      <xdr:col>3</xdr:col>
      <xdr:colOff>673344</xdr:colOff>
      <xdr:row>28</xdr:row>
      <xdr:rowOff>22046</xdr:rowOff>
    </xdr:to>
    <xdr:pic>
      <xdr:nvPicPr>
        <xdr:cNvPr id="4" name="Picture 3">
          <a:extLst>
            <a:ext uri="{FF2B5EF4-FFF2-40B4-BE49-F238E27FC236}">
              <a16:creationId xmlns:a16="http://schemas.microsoft.com/office/drawing/2014/main" id="{7BFAEBC6-3F55-422D-A7C7-19CD1F5E4854}"/>
            </a:ext>
          </a:extLst>
        </xdr:cNvPr>
        <xdr:cNvPicPr>
          <a:picLocks noChangeAspect="1"/>
        </xdr:cNvPicPr>
      </xdr:nvPicPr>
      <xdr:blipFill>
        <a:blip xmlns:r="http://schemas.openxmlformats.org/officeDocument/2006/relationships" r:embed="rId3"/>
        <a:stretch>
          <a:fillRect/>
        </a:stretch>
      </xdr:blipFill>
      <xdr:spPr>
        <a:xfrm>
          <a:off x="22273" y="3373443"/>
          <a:ext cx="5692727" cy="1783164"/>
        </a:xfrm>
        <a:prstGeom prst="rect">
          <a:avLst/>
        </a:prstGeom>
      </xdr:spPr>
    </xdr:pic>
    <xdr:clientData/>
  </xdr:twoCellAnchor>
  <xdr:twoCellAnchor editAs="oneCell">
    <xdr:from>
      <xdr:col>0</xdr:col>
      <xdr:colOff>22275</xdr:colOff>
      <xdr:row>36</xdr:row>
      <xdr:rowOff>84406</xdr:rowOff>
    </xdr:from>
    <xdr:to>
      <xdr:col>3</xdr:col>
      <xdr:colOff>574171</xdr:colOff>
      <xdr:row>38</xdr:row>
      <xdr:rowOff>22316</xdr:rowOff>
    </xdr:to>
    <xdr:pic>
      <xdr:nvPicPr>
        <xdr:cNvPr id="5" name="Picture 4">
          <a:extLst>
            <a:ext uri="{FF2B5EF4-FFF2-40B4-BE49-F238E27FC236}">
              <a16:creationId xmlns:a16="http://schemas.microsoft.com/office/drawing/2014/main" id="{B04DE911-4175-4AE6-9042-9892BB5FFE58}"/>
            </a:ext>
          </a:extLst>
        </xdr:cNvPr>
        <xdr:cNvPicPr>
          <a:picLocks noChangeAspect="1"/>
        </xdr:cNvPicPr>
      </xdr:nvPicPr>
      <xdr:blipFill>
        <a:blip xmlns:r="http://schemas.openxmlformats.org/officeDocument/2006/relationships" r:embed="rId4"/>
        <a:stretch>
          <a:fillRect/>
        </a:stretch>
      </xdr:blipFill>
      <xdr:spPr>
        <a:xfrm>
          <a:off x="22275" y="6678637"/>
          <a:ext cx="5606007" cy="309971"/>
        </a:xfrm>
        <a:prstGeom prst="rect">
          <a:avLst/>
        </a:prstGeom>
      </xdr:spPr>
    </xdr:pic>
    <xdr:clientData/>
  </xdr:twoCellAnchor>
  <xdr:twoCellAnchor editAs="oneCell">
    <xdr:from>
      <xdr:col>0</xdr:col>
      <xdr:colOff>18171</xdr:colOff>
      <xdr:row>43</xdr:row>
      <xdr:rowOff>84683</xdr:rowOff>
    </xdr:from>
    <xdr:to>
      <xdr:col>3</xdr:col>
      <xdr:colOff>678723</xdr:colOff>
      <xdr:row>45</xdr:row>
      <xdr:rowOff>21980</xdr:rowOff>
    </xdr:to>
    <xdr:pic>
      <xdr:nvPicPr>
        <xdr:cNvPr id="6" name="Picture 5">
          <a:extLst>
            <a:ext uri="{FF2B5EF4-FFF2-40B4-BE49-F238E27FC236}">
              <a16:creationId xmlns:a16="http://schemas.microsoft.com/office/drawing/2014/main" id="{2A4F5F0C-93EB-42E9-B05A-E8375CF2EA4A}"/>
            </a:ext>
          </a:extLst>
        </xdr:cNvPr>
        <xdr:cNvPicPr>
          <a:picLocks noChangeAspect="1"/>
        </xdr:cNvPicPr>
      </xdr:nvPicPr>
      <xdr:blipFill>
        <a:blip xmlns:r="http://schemas.openxmlformats.org/officeDocument/2006/relationships" r:embed="rId5"/>
        <a:stretch>
          <a:fillRect/>
        </a:stretch>
      </xdr:blipFill>
      <xdr:spPr>
        <a:xfrm>
          <a:off x="18171" y="7961125"/>
          <a:ext cx="5717448" cy="303643"/>
        </a:xfrm>
        <a:prstGeom prst="rect">
          <a:avLst/>
        </a:prstGeom>
      </xdr:spPr>
    </xdr:pic>
    <xdr:clientData/>
  </xdr:twoCellAnchor>
  <xdr:twoCellAnchor editAs="oneCell">
    <xdr:from>
      <xdr:col>0</xdr:col>
      <xdr:colOff>0</xdr:colOff>
      <xdr:row>50</xdr:row>
      <xdr:rowOff>111665</xdr:rowOff>
    </xdr:from>
    <xdr:to>
      <xdr:col>3</xdr:col>
      <xdr:colOff>677154</xdr:colOff>
      <xdr:row>52</xdr:row>
      <xdr:rowOff>59084</xdr:rowOff>
    </xdr:to>
    <xdr:pic>
      <xdr:nvPicPr>
        <xdr:cNvPr id="7" name="Picture 6">
          <a:extLst>
            <a:ext uri="{FF2B5EF4-FFF2-40B4-BE49-F238E27FC236}">
              <a16:creationId xmlns:a16="http://schemas.microsoft.com/office/drawing/2014/main" id="{A41257C4-ECC3-40CC-A8B9-50B95BFEACE3}"/>
            </a:ext>
          </a:extLst>
        </xdr:cNvPr>
        <xdr:cNvPicPr>
          <a:picLocks noChangeAspect="1"/>
        </xdr:cNvPicPr>
      </xdr:nvPicPr>
      <xdr:blipFill>
        <a:blip xmlns:r="http://schemas.openxmlformats.org/officeDocument/2006/relationships" r:embed="rId6"/>
        <a:stretch>
          <a:fillRect/>
        </a:stretch>
      </xdr:blipFill>
      <xdr:spPr>
        <a:xfrm>
          <a:off x="0" y="9270319"/>
          <a:ext cx="5715000" cy="309955"/>
        </a:xfrm>
        <a:prstGeom prst="rect">
          <a:avLst/>
        </a:prstGeom>
      </xdr:spPr>
    </xdr:pic>
    <xdr:clientData/>
  </xdr:twoCellAnchor>
  <xdr:twoCellAnchor editAs="oneCell">
    <xdr:from>
      <xdr:col>0</xdr:col>
      <xdr:colOff>0</xdr:colOff>
      <xdr:row>59</xdr:row>
      <xdr:rowOff>14654</xdr:rowOff>
    </xdr:from>
    <xdr:to>
      <xdr:col>3</xdr:col>
      <xdr:colOff>633203</xdr:colOff>
      <xdr:row>65</xdr:row>
      <xdr:rowOff>20076</xdr:rowOff>
    </xdr:to>
    <xdr:pic>
      <xdr:nvPicPr>
        <xdr:cNvPr id="9" name="Picture 8">
          <a:extLst>
            <a:ext uri="{FF2B5EF4-FFF2-40B4-BE49-F238E27FC236}">
              <a16:creationId xmlns:a16="http://schemas.microsoft.com/office/drawing/2014/main" id="{589B9C0A-70CA-4A81-8635-3D55AB8DA18A}"/>
            </a:ext>
          </a:extLst>
        </xdr:cNvPr>
        <xdr:cNvPicPr>
          <a:picLocks noChangeAspect="1"/>
        </xdr:cNvPicPr>
      </xdr:nvPicPr>
      <xdr:blipFill>
        <a:blip xmlns:r="http://schemas.openxmlformats.org/officeDocument/2006/relationships" r:embed="rId7"/>
        <a:stretch>
          <a:fillRect/>
        </a:stretch>
      </xdr:blipFill>
      <xdr:spPr>
        <a:xfrm>
          <a:off x="0" y="10821866"/>
          <a:ext cx="5691124" cy="1108270"/>
        </a:xfrm>
        <a:prstGeom prst="rect">
          <a:avLst/>
        </a:prstGeom>
      </xdr:spPr>
    </xdr:pic>
    <xdr:clientData/>
  </xdr:twoCellAnchor>
  <xdr:twoCellAnchor editAs="oneCell">
    <xdr:from>
      <xdr:col>0</xdr:col>
      <xdr:colOff>27403</xdr:colOff>
      <xdr:row>84</xdr:row>
      <xdr:rowOff>9232</xdr:rowOff>
    </xdr:from>
    <xdr:to>
      <xdr:col>3</xdr:col>
      <xdr:colOff>653337</xdr:colOff>
      <xdr:row>87</xdr:row>
      <xdr:rowOff>131884</xdr:rowOff>
    </xdr:to>
    <xdr:pic>
      <xdr:nvPicPr>
        <xdr:cNvPr id="12" name="Picture 11">
          <a:extLst>
            <a:ext uri="{FF2B5EF4-FFF2-40B4-BE49-F238E27FC236}">
              <a16:creationId xmlns:a16="http://schemas.microsoft.com/office/drawing/2014/main" id="{057BE6CD-B296-4CE3-BB89-3B04227AE702}"/>
            </a:ext>
          </a:extLst>
        </xdr:cNvPr>
        <xdr:cNvPicPr>
          <a:picLocks noChangeAspect="1"/>
        </xdr:cNvPicPr>
      </xdr:nvPicPr>
      <xdr:blipFill>
        <a:blip xmlns:r="http://schemas.openxmlformats.org/officeDocument/2006/relationships" r:embed="rId8"/>
        <a:stretch>
          <a:fillRect/>
        </a:stretch>
      </xdr:blipFill>
      <xdr:spPr>
        <a:xfrm>
          <a:off x="27403" y="15395770"/>
          <a:ext cx="5680045" cy="672172"/>
        </a:xfrm>
        <a:prstGeom prst="rect">
          <a:avLst/>
        </a:prstGeom>
      </xdr:spPr>
    </xdr:pic>
    <xdr:clientData/>
  </xdr:twoCellAnchor>
  <xdr:twoCellAnchor editAs="oneCell">
    <xdr:from>
      <xdr:col>0</xdr:col>
      <xdr:colOff>18170</xdr:colOff>
      <xdr:row>98</xdr:row>
      <xdr:rowOff>27403</xdr:rowOff>
    </xdr:from>
    <xdr:to>
      <xdr:col>3</xdr:col>
      <xdr:colOff>596265</xdr:colOff>
      <xdr:row>99</xdr:row>
      <xdr:rowOff>20498</xdr:rowOff>
    </xdr:to>
    <xdr:pic>
      <xdr:nvPicPr>
        <xdr:cNvPr id="13" name="Picture 12">
          <a:extLst>
            <a:ext uri="{FF2B5EF4-FFF2-40B4-BE49-F238E27FC236}">
              <a16:creationId xmlns:a16="http://schemas.microsoft.com/office/drawing/2014/main" id="{863DFF06-204A-4725-A0D7-FF4CBEF822E7}"/>
            </a:ext>
          </a:extLst>
        </xdr:cNvPr>
        <xdr:cNvPicPr>
          <a:picLocks noChangeAspect="1"/>
        </xdr:cNvPicPr>
      </xdr:nvPicPr>
      <xdr:blipFill>
        <a:blip xmlns:r="http://schemas.openxmlformats.org/officeDocument/2006/relationships" r:embed="rId9"/>
        <a:stretch>
          <a:fillRect/>
        </a:stretch>
      </xdr:blipFill>
      <xdr:spPr>
        <a:xfrm>
          <a:off x="18170" y="17978365"/>
          <a:ext cx="5645541" cy="172458"/>
        </a:xfrm>
        <a:prstGeom prst="rect">
          <a:avLst/>
        </a:prstGeom>
      </xdr:spPr>
    </xdr:pic>
    <xdr:clientData/>
  </xdr:twoCellAnchor>
  <xdr:twoCellAnchor editAs="oneCell">
    <xdr:from>
      <xdr:col>0</xdr:col>
      <xdr:colOff>0</xdr:colOff>
      <xdr:row>104</xdr:row>
      <xdr:rowOff>0</xdr:rowOff>
    </xdr:from>
    <xdr:to>
      <xdr:col>3</xdr:col>
      <xdr:colOff>631581</xdr:colOff>
      <xdr:row>105</xdr:row>
      <xdr:rowOff>130946</xdr:rowOff>
    </xdr:to>
    <xdr:pic>
      <xdr:nvPicPr>
        <xdr:cNvPr id="14" name="Picture 13">
          <a:extLst>
            <a:ext uri="{FF2B5EF4-FFF2-40B4-BE49-F238E27FC236}">
              <a16:creationId xmlns:a16="http://schemas.microsoft.com/office/drawing/2014/main" id="{6493E4BC-A1D3-4F47-B310-10C27CA29D9A}"/>
            </a:ext>
          </a:extLst>
        </xdr:cNvPr>
        <xdr:cNvPicPr>
          <a:picLocks noChangeAspect="1"/>
        </xdr:cNvPicPr>
      </xdr:nvPicPr>
      <xdr:blipFill>
        <a:blip xmlns:r="http://schemas.openxmlformats.org/officeDocument/2006/relationships" r:embed="rId10"/>
        <a:stretch>
          <a:fillRect/>
        </a:stretch>
      </xdr:blipFill>
      <xdr:spPr>
        <a:xfrm>
          <a:off x="0" y="19050000"/>
          <a:ext cx="5685692" cy="308404"/>
        </a:xfrm>
        <a:prstGeom prst="rect">
          <a:avLst/>
        </a:prstGeom>
      </xdr:spPr>
    </xdr:pic>
    <xdr:clientData/>
  </xdr:twoCellAnchor>
  <xdr:twoCellAnchor editAs="oneCell">
    <xdr:from>
      <xdr:col>0</xdr:col>
      <xdr:colOff>27403</xdr:colOff>
      <xdr:row>111</xdr:row>
      <xdr:rowOff>126462</xdr:rowOff>
    </xdr:from>
    <xdr:to>
      <xdr:col>3</xdr:col>
      <xdr:colOff>636710</xdr:colOff>
      <xdr:row>116</xdr:row>
      <xdr:rowOff>17642</xdr:rowOff>
    </xdr:to>
    <xdr:pic>
      <xdr:nvPicPr>
        <xdr:cNvPr id="15" name="Picture 14">
          <a:extLst>
            <a:ext uri="{FF2B5EF4-FFF2-40B4-BE49-F238E27FC236}">
              <a16:creationId xmlns:a16="http://schemas.microsoft.com/office/drawing/2014/main" id="{6ECFD83D-E7DA-4816-B58A-9B6E6D706964}"/>
            </a:ext>
          </a:extLst>
        </xdr:cNvPr>
        <xdr:cNvPicPr>
          <a:picLocks noChangeAspect="1"/>
        </xdr:cNvPicPr>
      </xdr:nvPicPr>
      <xdr:blipFill>
        <a:blip xmlns:r="http://schemas.openxmlformats.org/officeDocument/2006/relationships" r:embed="rId11"/>
        <a:stretch>
          <a:fillRect/>
        </a:stretch>
      </xdr:blipFill>
      <xdr:spPr>
        <a:xfrm>
          <a:off x="27403" y="20458674"/>
          <a:ext cx="5672943" cy="807045"/>
        </a:xfrm>
        <a:prstGeom prst="rect">
          <a:avLst/>
        </a:prstGeom>
      </xdr:spPr>
    </xdr:pic>
    <xdr:clientData/>
  </xdr:twoCellAnchor>
  <xdr:twoCellAnchor editAs="oneCell">
    <xdr:from>
      <xdr:col>0</xdr:col>
      <xdr:colOff>0</xdr:colOff>
      <xdr:row>123</xdr:row>
      <xdr:rowOff>35170</xdr:rowOff>
    </xdr:from>
    <xdr:to>
      <xdr:col>3</xdr:col>
      <xdr:colOff>646190</xdr:colOff>
      <xdr:row>125</xdr:row>
      <xdr:rowOff>41030</xdr:rowOff>
    </xdr:to>
    <xdr:pic>
      <xdr:nvPicPr>
        <xdr:cNvPr id="16" name="Picture 15">
          <a:extLst>
            <a:ext uri="{FF2B5EF4-FFF2-40B4-BE49-F238E27FC236}">
              <a16:creationId xmlns:a16="http://schemas.microsoft.com/office/drawing/2014/main" id="{A511AB8E-99E6-4B4D-AA20-F3C70D89E4F5}"/>
            </a:ext>
          </a:extLst>
        </xdr:cNvPr>
        <xdr:cNvPicPr>
          <a:picLocks noChangeAspect="1"/>
        </xdr:cNvPicPr>
      </xdr:nvPicPr>
      <xdr:blipFill>
        <a:blip xmlns:r="http://schemas.openxmlformats.org/officeDocument/2006/relationships" r:embed="rId12"/>
        <a:stretch>
          <a:fillRect/>
        </a:stretch>
      </xdr:blipFill>
      <xdr:spPr>
        <a:xfrm>
          <a:off x="0" y="22385216"/>
          <a:ext cx="5698836" cy="369276"/>
        </a:xfrm>
        <a:prstGeom prst="rect">
          <a:avLst/>
        </a:prstGeom>
      </xdr:spPr>
    </xdr:pic>
    <xdr:clientData/>
  </xdr:twoCellAnchor>
  <xdr:twoCellAnchor editAs="oneCell">
    <xdr:from>
      <xdr:col>0</xdr:col>
      <xdr:colOff>0</xdr:colOff>
      <xdr:row>131</xdr:row>
      <xdr:rowOff>76199</xdr:rowOff>
    </xdr:from>
    <xdr:to>
      <xdr:col>3</xdr:col>
      <xdr:colOff>636524</xdr:colOff>
      <xdr:row>134</xdr:row>
      <xdr:rowOff>17584</xdr:rowOff>
    </xdr:to>
    <xdr:pic>
      <xdr:nvPicPr>
        <xdr:cNvPr id="17" name="Picture 16">
          <a:extLst>
            <a:ext uri="{FF2B5EF4-FFF2-40B4-BE49-F238E27FC236}">
              <a16:creationId xmlns:a16="http://schemas.microsoft.com/office/drawing/2014/main" id="{E190F3F5-F488-4989-9758-A9AEAF987826}"/>
            </a:ext>
          </a:extLst>
        </xdr:cNvPr>
        <xdr:cNvPicPr>
          <a:picLocks noChangeAspect="1"/>
        </xdr:cNvPicPr>
      </xdr:nvPicPr>
      <xdr:blipFill>
        <a:blip xmlns:r="http://schemas.openxmlformats.org/officeDocument/2006/relationships" r:embed="rId13"/>
        <a:stretch>
          <a:fillRect/>
        </a:stretch>
      </xdr:blipFill>
      <xdr:spPr>
        <a:xfrm>
          <a:off x="0" y="23879907"/>
          <a:ext cx="5689170" cy="486508"/>
        </a:xfrm>
        <a:prstGeom prst="rect">
          <a:avLst/>
        </a:prstGeom>
      </xdr:spPr>
    </xdr:pic>
    <xdr:clientData/>
  </xdr:twoCellAnchor>
  <xdr:twoCellAnchor editAs="oneCell">
    <xdr:from>
      <xdr:col>0</xdr:col>
      <xdr:colOff>41030</xdr:colOff>
      <xdr:row>140</xdr:row>
      <xdr:rowOff>169983</xdr:rowOff>
    </xdr:from>
    <xdr:to>
      <xdr:col>3</xdr:col>
      <xdr:colOff>666017</xdr:colOff>
      <xdr:row>143</xdr:row>
      <xdr:rowOff>99645</xdr:rowOff>
    </xdr:to>
    <xdr:pic>
      <xdr:nvPicPr>
        <xdr:cNvPr id="18" name="Picture 17">
          <a:extLst>
            <a:ext uri="{FF2B5EF4-FFF2-40B4-BE49-F238E27FC236}">
              <a16:creationId xmlns:a16="http://schemas.microsoft.com/office/drawing/2014/main" id="{D19ED52C-ED82-4DEC-9044-DA7F3B6880BF}"/>
            </a:ext>
          </a:extLst>
        </xdr:cNvPr>
        <xdr:cNvPicPr>
          <a:picLocks noChangeAspect="1"/>
        </xdr:cNvPicPr>
      </xdr:nvPicPr>
      <xdr:blipFill>
        <a:blip xmlns:r="http://schemas.openxmlformats.org/officeDocument/2006/relationships" r:embed="rId14"/>
        <a:stretch>
          <a:fillRect/>
        </a:stretch>
      </xdr:blipFill>
      <xdr:spPr>
        <a:xfrm>
          <a:off x="41030" y="25609060"/>
          <a:ext cx="5677633" cy="474785"/>
        </a:xfrm>
        <a:prstGeom prst="rect">
          <a:avLst/>
        </a:prstGeom>
      </xdr:spPr>
    </xdr:pic>
    <xdr:clientData/>
  </xdr:twoCellAnchor>
  <xdr:twoCellAnchor editAs="oneCell">
    <xdr:from>
      <xdr:col>0</xdr:col>
      <xdr:colOff>23446</xdr:colOff>
      <xdr:row>149</xdr:row>
      <xdr:rowOff>29308</xdr:rowOff>
    </xdr:from>
    <xdr:to>
      <xdr:col>3</xdr:col>
      <xdr:colOff>638543</xdr:colOff>
      <xdr:row>150</xdr:row>
      <xdr:rowOff>164123</xdr:rowOff>
    </xdr:to>
    <xdr:pic>
      <xdr:nvPicPr>
        <xdr:cNvPr id="19" name="Picture 18">
          <a:extLst>
            <a:ext uri="{FF2B5EF4-FFF2-40B4-BE49-F238E27FC236}">
              <a16:creationId xmlns:a16="http://schemas.microsoft.com/office/drawing/2014/main" id="{C859391D-FCEC-4EBC-91D2-664566390ADE}"/>
            </a:ext>
          </a:extLst>
        </xdr:cNvPr>
        <xdr:cNvPicPr>
          <a:picLocks noChangeAspect="1"/>
        </xdr:cNvPicPr>
      </xdr:nvPicPr>
      <xdr:blipFill>
        <a:blip xmlns:r="http://schemas.openxmlformats.org/officeDocument/2006/relationships" r:embed="rId15"/>
        <a:stretch>
          <a:fillRect/>
        </a:stretch>
      </xdr:blipFill>
      <xdr:spPr>
        <a:xfrm>
          <a:off x="23446" y="27103754"/>
          <a:ext cx="5667743" cy="316523"/>
        </a:xfrm>
        <a:prstGeom prst="rect">
          <a:avLst/>
        </a:prstGeom>
      </xdr:spPr>
    </xdr:pic>
    <xdr:clientData/>
  </xdr:twoCellAnchor>
  <xdr:twoCellAnchor editAs="oneCell">
    <xdr:from>
      <xdr:col>0</xdr:col>
      <xdr:colOff>23446</xdr:colOff>
      <xdr:row>156</xdr:row>
      <xdr:rowOff>152399</xdr:rowOff>
    </xdr:from>
    <xdr:to>
      <xdr:col>3</xdr:col>
      <xdr:colOff>707379</xdr:colOff>
      <xdr:row>159</xdr:row>
      <xdr:rowOff>111369</xdr:rowOff>
    </xdr:to>
    <xdr:pic>
      <xdr:nvPicPr>
        <xdr:cNvPr id="20" name="Picture 19">
          <a:extLst>
            <a:ext uri="{FF2B5EF4-FFF2-40B4-BE49-F238E27FC236}">
              <a16:creationId xmlns:a16="http://schemas.microsoft.com/office/drawing/2014/main" id="{F97799B1-2383-4656-A326-9010C6468E06}"/>
            </a:ext>
          </a:extLst>
        </xdr:cNvPr>
        <xdr:cNvPicPr>
          <a:picLocks noChangeAspect="1"/>
        </xdr:cNvPicPr>
      </xdr:nvPicPr>
      <xdr:blipFill>
        <a:blip xmlns:r="http://schemas.openxmlformats.org/officeDocument/2006/relationships" r:embed="rId16"/>
        <a:stretch>
          <a:fillRect/>
        </a:stretch>
      </xdr:blipFill>
      <xdr:spPr>
        <a:xfrm>
          <a:off x="23446" y="28498799"/>
          <a:ext cx="5736579" cy="504093"/>
        </a:xfrm>
        <a:prstGeom prst="rect">
          <a:avLst/>
        </a:prstGeom>
      </xdr:spPr>
    </xdr:pic>
    <xdr:clientData/>
  </xdr:twoCellAnchor>
  <xdr:twoCellAnchor editAs="oneCell">
    <xdr:from>
      <xdr:col>0</xdr:col>
      <xdr:colOff>1</xdr:colOff>
      <xdr:row>167</xdr:row>
      <xdr:rowOff>17585</xdr:rowOff>
    </xdr:from>
    <xdr:to>
      <xdr:col>3</xdr:col>
      <xdr:colOff>732693</xdr:colOff>
      <xdr:row>168</xdr:row>
      <xdr:rowOff>177329</xdr:rowOff>
    </xdr:to>
    <xdr:pic>
      <xdr:nvPicPr>
        <xdr:cNvPr id="21" name="Picture 20">
          <a:extLst>
            <a:ext uri="{FF2B5EF4-FFF2-40B4-BE49-F238E27FC236}">
              <a16:creationId xmlns:a16="http://schemas.microsoft.com/office/drawing/2014/main" id="{C6F72014-6B3F-4366-B920-DCC3744D9708}"/>
            </a:ext>
          </a:extLst>
        </xdr:cNvPr>
        <xdr:cNvPicPr>
          <a:picLocks noChangeAspect="1"/>
        </xdr:cNvPicPr>
      </xdr:nvPicPr>
      <xdr:blipFill>
        <a:blip xmlns:r="http://schemas.openxmlformats.org/officeDocument/2006/relationships" r:embed="rId17"/>
        <a:stretch>
          <a:fillRect/>
        </a:stretch>
      </xdr:blipFill>
      <xdr:spPr>
        <a:xfrm>
          <a:off x="1" y="30362770"/>
          <a:ext cx="5785338" cy="341451"/>
        </a:xfrm>
        <a:prstGeom prst="rect">
          <a:avLst/>
        </a:prstGeom>
      </xdr:spPr>
    </xdr:pic>
    <xdr:clientData/>
  </xdr:twoCellAnchor>
  <xdr:twoCellAnchor editAs="oneCell">
    <xdr:from>
      <xdr:col>0</xdr:col>
      <xdr:colOff>17585</xdr:colOff>
      <xdr:row>174</xdr:row>
      <xdr:rowOff>175846</xdr:rowOff>
    </xdr:from>
    <xdr:to>
      <xdr:col>3</xdr:col>
      <xdr:colOff>805427</xdr:colOff>
      <xdr:row>176</xdr:row>
      <xdr:rowOff>152399</xdr:rowOff>
    </xdr:to>
    <xdr:pic>
      <xdr:nvPicPr>
        <xdr:cNvPr id="22" name="Picture 21">
          <a:extLst>
            <a:ext uri="{FF2B5EF4-FFF2-40B4-BE49-F238E27FC236}">
              <a16:creationId xmlns:a16="http://schemas.microsoft.com/office/drawing/2014/main" id="{A65F4783-1DBE-4EBA-8FBF-CE8AE774A46C}"/>
            </a:ext>
          </a:extLst>
        </xdr:cNvPr>
        <xdr:cNvPicPr>
          <a:picLocks noChangeAspect="1"/>
        </xdr:cNvPicPr>
      </xdr:nvPicPr>
      <xdr:blipFill>
        <a:blip xmlns:r="http://schemas.openxmlformats.org/officeDocument/2006/relationships" r:embed="rId18"/>
        <a:stretch>
          <a:fillRect/>
        </a:stretch>
      </xdr:blipFill>
      <xdr:spPr>
        <a:xfrm>
          <a:off x="17585" y="31792984"/>
          <a:ext cx="5840488" cy="339969"/>
        </a:xfrm>
        <a:prstGeom prst="rect">
          <a:avLst/>
        </a:prstGeom>
      </xdr:spPr>
    </xdr:pic>
    <xdr:clientData/>
  </xdr:twoCellAnchor>
  <xdr:twoCellAnchor editAs="oneCell">
    <xdr:from>
      <xdr:col>0</xdr:col>
      <xdr:colOff>5863</xdr:colOff>
      <xdr:row>182</xdr:row>
      <xdr:rowOff>178085</xdr:rowOff>
    </xdr:from>
    <xdr:to>
      <xdr:col>3</xdr:col>
      <xdr:colOff>750279</xdr:colOff>
      <xdr:row>184</xdr:row>
      <xdr:rowOff>173535</xdr:rowOff>
    </xdr:to>
    <xdr:pic>
      <xdr:nvPicPr>
        <xdr:cNvPr id="23" name="Picture 22">
          <a:extLst>
            <a:ext uri="{FF2B5EF4-FFF2-40B4-BE49-F238E27FC236}">
              <a16:creationId xmlns:a16="http://schemas.microsoft.com/office/drawing/2014/main" id="{F77238B2-9F90-4762-B4CA-9F1C9D3204EE}"/>
            </a:ext>
          </a:extLst>
        </xdr:cNvPr>
        <xdr:cNvPicPr>
          <a:picLocks noChangeAspect="1"/>
        </xdr:cNvPicPr>
      </xdr:nvPicPr>
      <xdr:blipFill>
        <a:blip xmlns:r="http://schemas.openxmlformats.org/officeDocument/2006/relationships" r:embed="rId19"/>
        <a:stretch>
          <a:fillRect/>
        </a:stretch>
      </xdr:blipFill>
      <xdr:spPr>
        <a:xfrm>
          <a:off x="5863" y="33248885"/>
          <a:ext cx="5797062" cy="358865"/>
        </a:xfrm>
        <a:prstGeom prst="rect">
          <a:avLst/>
        </a:prstGeom>
      </xdr:spPr>
    </xdr:pic>
    <xdr:clientData/>
  </xdr:twoCellAnchor>
  <xdr:twoCellAnchor editAs="oneCell">
    <xdr:from>
      <xdr:col>0</xdr:col>
      <xdr:colOff>5862</xdr:colOff>
      <xdr:row>194</xdr:row>
      <xdr:rowOff>23845</xdr:rowOff>
    </xdr:from>
    <xdr:to>
      <xdr:col>3</xdr:col>
      <xdr:colOff>732693</xdr:colOff>
      <xdr:row>195</xdr:row>
      <xdr:rowOff>140119</xdr:rowOff>
    </xdr:to>
    <xdr:pic>
      <xdr:nvPicPr>
        <xdr:cNvPr id="24" name="Picture 23">
          <a:extLst>
            <a:ext uri="{FF2B5EF4-FFF2-40B4-BE49-F238E27FC236}">
              <a16:creationId xmlns:a16="http://schemas.microsoft.com/office/drawing/2014/main" id="{CD2D262B-173C-4F23-B9DF-E6086E0AE9F2}"/>
            </a:ext>
          </a:extLst>
        </xdr:cNvPr>
        <xdr:cNvPicPr>
          <a:picLocks noChangeAspect="1"/>
        </xdr:cNvPicPr>
      </xdr:nvPicPr>
      <xdr:blipFill>
        <a:blip xmlns:r="http://schemas.openxmlformats.org/officeDocument/2006/relationships" r:embed="rId20"/>
        <a:stretch>
          <a:fillRect/>
        </a:stretch>
      </xdr:blipFill>
      <xdr:spPr>
        <a:xfrm>
          <a:off x="5862" y="35275137"/>
          <a:ext cx="5779477" cy="297982"/>
        </a:xfrm>
        <a:prstGeom prst="rect">
          <a:avLst/>
        </a:prstGeom>
      </xdr:spPr>
    </xdr:pic>
    <xdr:clientData/>
  </xdr:twoCellAnchor>
  <xdr:twoCellAnchor editAs="oneCell">
    <xdr:from>
      <xdr:col>0</xdr:col>
      <xdr:colOff>17586</xdr:colOff>
      <xdr:row>201</xdr:row>
      <xdr:rowOff>8331</xdr:rowOff>
    </xdr:from>
    <xdr:to>
      <xdr:col>3</xdr:col>
      <xdr:colOff>762002</xdr:colOff>
      <xdr:row>206</xdr:row>
      <xdr:rowOff>117914</xdr:rowOff>
    </xdr:to>
    <xdr:pic>
      <xdr:nvPicPr>
        <xdr:cNvPr id="25" name="Picture 24">
          <a:extLst>
            <a:ext uri="{FF2B5EF4-FFF2-40B4-BE49-F238E27FC236}">
              <a16:creationId xmlns:a16="http://schemas.microsoft.com/office/drawing/2014/main" id="{1F03E0EA-7686-41D7-8736-952D9453C0DB}"/>
            </a:ext>
          </a:extLst>
        </xdr:cNvPr>
        <xdr:cNvPicPr>
          <a:picLocks noChangeAspect="1"/>
        </xdr:cNvPicPr>
      </xdr:nvPicPr>
      <xdr:blipFill>
        <a:blip xmlns:r="http://schemas.openxmlformats.org/officeDocument/2006/relationships" r:embed="rId21"/>
        <a:stretch>
          <a:fillRect/>
        </a:stretch>
      </xdr:blipFill>
      <xdr:spPr>
        <a:xfrm>
          <a:off x="17586" y="36531577"/>
          <a:ext cx="5797062" cy="1018122"/>
        </a:xfrm>
        <a:prstGeom prst="rect">
          <a:avLst/>
        </a:prstGeom>
      </xdr:spPr>
    </xdr:pic>
    <xdr:clientData/>
  </xdr:twoCellAnchor>
  <xdr:twoCellAnchor editAs="oneCell">
    <xdr:from>
      <xdr:col>0</xdr:col>
      <xdr:colOff>11724</xdr:colOff>
      <xdr:row>214</xdr:row>
      <xdr:rowOff>57912</xdr:rowOff>
    </xdr:from>
    <xdr:to>
      <xdr:col>3</xdr:col>
      <xdr:colOff>756140</xdr:colOff>
      <xdr:row>217</xdr:row>
      <xdr:rowOff>41668</xdr:rowOff>
    </xdr:to>
    <xdr:pic>
      <xdr:nvPicPr>
        <xdr:cNvPr id="26" name="Picture 25">
          <a:extLst>
            <a:ext uri="{FF2B5EF4-FFF2-40B4-BE49-F238E27FC236}">
              <a16:creationId xmlns:a16="http://schemas.microsoft.com/office/drawing/2014/main" id="{FE391DB5-2864-4918-A8BC-151D456E1C35}"/>
            </a:ext>
          </a:extLst>
        </xdr:cNvPr>
        <xdr:cNvPicPr>
          <a:picLocks noChangeAspect="1"/>
        </xdr:cNvPicPr>
      </xdr:nvPicPr>
      <xdr:blipFill>
        <a:blip xmlns:r="http://schemas.openxmlformats.org/officeDocument/2006/relationships" r:embed="rId22"/>
        <a:stretch>
          <a:fillRect/>
        </a:stretch>
      </xdr:blipFill>
      <xdr:spPr>
        <a:xfrm>
          <a:off x="11724" y="38943358"/>
          <a:ext cx="5797062" cy="528879"/>
        </a:xfrm>
        <a:prstGeom prst="rect">
          <a:avLst/>
        </a:prstGeom>
      </xdr:spPr>
    </xdr:pic>
    <xdr:clientData/>
  </xdr:twoCellAnchor>
  <xdr:twoCellAnchor editAs="oneCell">
    <xdr:from>
      <xdr:col>0</xdr:col>
      <xdr:colOff>17585</xdr:colOff>
      <xdr:row>237</xdr:row>
      <xdr:rowOff>158261</xdr:rowOff>
    </xdr:from>
    <xdr:to>
      <xdr:col>1</xdr:col>
      <xdr:colOff>705269</xdr:colOff>
      <xdr:row>238</xdr:row>
      <xdr:rowOff>174691</xdr:rowOff>
    </xdr:to>
    <xdr:pic>
      <xdr:nvPicPr>
        <xdr:cNvPr id="27" name="Picture 26">
          <a:extLst>
            <a:ext uri="{FF2B5EF4-FFF2-40B4-BE49-F238E27FC236}">
              <a16:creationId xmlns:a16="http://schemas.microsoft.com/office/drawing/2014/main" id="{F9D3B939-1246-46C5-828A-D13FFE12AF34}"/>
            </a:ext>
          </a:extLst>
        </xdr:cNvPr>
        <xdr:cNvPicPr>
          <a:picLocks noChangeAspect="1"/>
        </xdr:cNvPicPr>
      </xdr:nvPicPr>
      <xdr:blipFill>
        <a:blip xmlns:r="http://schemas.openxmlformats.org/officeDocument/2006/relationships" r:embed="rId23"/>
        <a:stretch>
          <a:fillRect/>
        </a:stretch>
      </xdr:blipFill>
      <xdr:spPr>
        <a:xfrm>
          <a:off x="17585" y="44600446"/>
          <a:ext cx="1455546" cy="1981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9:D15"/>
  <sheetViews>
    <sheetView zoomScale="130" zoomScaleNormal="130" workbookViewId="0">
      <selection activeCell="A9" sqref="A9:D15"/>
    </sheetView>
  </sheetViews>
  <sheetFormatPr defaultRowHeight="14.4" x14ac:dyDescent="0.3"/>
  <cols>
    <col min="2" max="2" width="49.44140625" customWidth="1"/>
    <col min="12" max="12" width="8.88671875" customWidth="1"/>
  </cols>
  <sheetData>
    <row r="9" spans="1:4" x14ac:dyDescent="0.3">
      <c r="A9" s="4" t="s">
        <v>0</v>
      </c>
      <c r="B9" s="6" t="s">
        <v>1</v>
      </c>
      <c r="C9" s="5" t="s">
        <v>2</v>
      </c>
      <c r="D9" s="5" t="s">
        <v>3</v>
      </c>
    </row>
    <row r="10" spans="1:4" x14ac:dyDescent="0.3">
      <c r="A10" s="19">
        <v>572</v>
      </c>
      <c r="B10" s="10" t="s">
        <v>4</v>
      </c>
      <c r="C10" s="13">
        <v>30000</v>
      </c>
      <c r="D10" s="14"/>
    </row>
    <row r="11" spans="1:4" x14ac:dyDescent="0.3">
      <c r="A11" s="8">
        <v>543</v>
      </c>
      <c r="B11" t="s">
        <v>5</v>
      </c>
      <c r="C11" s="15">
        <v>70000</v>
      </c>
      <c r="D11" s="16"/>
    </row>
    <row r="12" spans="1:4" x14ac:dyDescent="0.3">
      <c r="A12" s="8">
        <v>281</v>
      </c>
      <c r="B12" s="11" t="s">
        <v>6</v>
      </c>
      <c r="C12" s="15">
        <v>50000</v>
      </c>
      <c r="D12" s="16"/>
    </row>
    <row r="13" spans="1:4" x14ac:dyDescent="0.3">
      <c r="A13" s="1">
        <v>671</v>
      </c>
      <c r="B13" t="s">
        <v>7</v>
      </c>
      <c r="C13" s="15">
        <v>150000</v>
      </c>
      <c r="D13" s="16"/>
    </row>
    <row r="14" spans="1:4" x14ac:dyDescent="0.3">
      <c r="A14" s="8">
        <v>210</v>
      </c>
      <c r="B14" s="11" t="s">
        <v>8</v>
      </c>
      <c r="C14" s="15"/>
      <c r="D14" s="16">
        <v>100000</v>
      </c>
    </row>
    <row r="15" spans="1:4" x14ac:dyDescent="0.3">
      <c r="A15" s="9">
        <v>211</v>
      </c>
      <c r="B15" s="12" t="s">
        <v>9</v>
      </c>
      <c r="C15" s="17"/>
      <c r="D15" s="18">
        <v>200000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8C7E7-0F43-4E1E-BF17-771B63D01391}">
  <dimension ref="A8:G12"/>
  <sheetViews>
    <sheetView zoomScale="145" zoomScaleNormal="145" workbookViewId="0">
      <selection activeCell="C24" sqref="C24"/>
    </sheetView>
  </sheetViews>
  <sheetFormatPr defaultRowHeight="14.4" x14ac:dyDescent="0.3"/>
  <cols>
    <col min="1" max="1" width="21.6640625" customWidth="1"/>
    <col min="2" max="2" width="10.33203125" customWidth="1"/>
    <col min="5" max="5" width="50.6640625" customWidth="1"/>
    <col min="6" max="6" width="10.109375" customWidth="1"/>
  </cols>
  <sheetData>
    <row r="8" spans="1:7" x14ac:dyDescent="0.3">
      <c r="A8" t="s">
        <v>10</v>
      </c>
      <c r="B8">
        <v>1</v>
      </c>
      <c r="D8" s="4" t="s">
        <v>0</v>
      </c>
      <c r="E8" s="6" t="s">
        <v>1</v>
      </c>
      <c r="F8" s="5" t="s">
        <v>2</v>
      </c>
      <c r="G8" s="5" t="s">
        <v>3</v>
      </c>
    </row>
    <row r="9" spans="1:7" x14ac:dyDescent="0.3">
      <c r="A9" t="s">
        <v>11</v>
      </c>
      <c r="B9">
        <v>10</v>
      </c>
      <c r="D9" s="19">
        <v>213</v>
      </c>
      <c r="E9" s="10" t="s">
        <v>14</v>
      </c>
      <c r="F9" s="13">
        <v>100000</v>
      </c>
      <c r="G9" s="14"/>
    </row>
    <row r="10" spans="1:7" x14ac:dyDescent="0.3">
      <c r="A10" t="s">
        <v>12</v>
      </c>
      <c r="B10">
        <f>100000-0</f>
        <v>100000</v>
      </c>
      <c r="D10" s="8">
        <v>572</v>
      </c>
      <c r="E10" t="s">
        <v>15</v>
      </c>
      <c r="F10" s="15"/>
      <c r="G10" s="16">
        <v>100000</v>
      </c>
    </row>
    <row r="11" spans="1:7" x14ac:dyDescent="0.3">
      <c r="A11" t="s">
        <v>13</v>
      </c>
      <c r="B11">
        <f>(2*B8)/(B9*(B9+1))*B10</f>
        <v>1818.181818181818</v>
      </c>
      <c r="D11" s="8">
        <v>681</v>
      </c>
      <c r="E11" s="11" t="s">
        <v>16</v>
      </c>
      <c r="F11" s="15">
        <f>B11</f>
        <v>1818.181818181818</v>
      </c>
      <c r="G11" s="16"/>
    </row>
    <row r="12" spans="1:7" x14ac:dyDescent="0.3">
      <c r="D12" s="21">
        <v>281</v>
      </c>
      <c r="E12" s="22" t="s">
        <v>6</v>
      </c>
      <c r="F12" s="17"/>
      <c r="G12" s="18">
        <f>B11</f>
        <v>1818.181818181818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13762-C9D2-48E0-B707-1A09CCA76130}">
  <dimension ref="A10:G24"/>
  <sheetViews>
    <sheetView zoomScale="130" zoomScaleNormal="130" workbookViewId="0">
      <selection activeCell="B28" sqref="B28"/>
    </sheetView>
  </sheetViews>
  <sheetFormatPr defaultRowHeight="14.4" x14ac:dyDescent="0.3"/>
  <cols>
    <col min="2" max="2" width="42.21875" style="1" customWidth="1"/>
    <col min="3" max="3" width="13.33203125" style="23" customWidth="1"/>
    <col min="4" max="4" width="11.44140625" style="23" customWidth="1"/>
    <col min="6" max="6" width="18.88671875" customWidth="1"/>
  </cols>
  <sheetData>
    <row r="10" spans="1:4" x14ac:dyDescent="0.3">
      <c r="B10" s="1" t="s">
        <v>17</v>
      </c>
    </row>
    <row r="11" spans="1:4" x14ac:dyDescent="0.3">
      <c r="A11" s="4" t="s">
        <v>0</v>
      </c>
      <c r="B11" s="6" t="s">
        <v>1</v>
      </c>
      <c r="C11" s="5" t="s">
        <v>2</v>
      </c>
      <c r="D11" s="5" t="s">
        <v>3</v>
      </c>
    </row>
    <row r="12" spans="1:4" x14ac:dyDescent="0.3">
      <c r="A12" s="24">
        <v>231</v>
      </c>
      <c r="B12" s="24" t="s">
        <v>18</v>
      </c>
      <c r="C12" s="24">
        <v>200000</v>
      </c>
      <c r="D12" s="27"/>
    </row>
    <row r="13" spans="1:4" x14ac:dyDescent="0.3">
      <c r="A13" s="25">
        <v>731</v>
      </c>
      <c r="B13" s="25" t="s">
        <v>19</v>
      </c>
      <c r="C13" s="26"/>
      <c r="D13" s="25">
        <v>200000</v>
      </c>
    </row>
    <row r="15" spans="1:4" x14ac:dyDescent="0.3">
      <c r="B15" s="1" t="s">
        <v>20</v>
      </c>
    </row>
    <row r="16" spans="1:4" x14ac:dyDescent="0.3">
      <c r="A16" s="4" t="s">
        <v>0</v>
      </c>
      <c r="B16" s="28" t="s">
        <v>1</v>
      </c>
      <c r="C16" s="4" t="s">
        <v>2</v>
      </c>
      <c r="D16" s="4" t="s">
        <v>3</v>
      </c>
    </row>
    <row r="17" spans="1:7" x14ac:dyDescent="0.3">
      <c r="A17" s="24">
        <v>211</v>
      </c>
      <c r="B17" s="29" t="s">
        <v>9</v>
      </c>
      <c r="C17" s="24">
        <v>300000</v>
      </c>
      <c r="D17" s="27"/>
    </row>
    <row r="18" spans="1:7" x14ac:dyDescent="0.3">
      <c r="A18" s="7">
        <v>231</v>
      </c>
      <c r="B18" s="30" t="s">
        <v>18</v>
      </c>
      <c r="C18" s="32"/>
      <c r="D18" s="7">
        <v>200000</v>
      </c>
    </row>
    <row r="19" spans="1:7" x14ac:dyDescent="0.3">
      <c r="A19" s="25">
        <v>731</v>
      </c>
      <c r="B19" s="31" t="s">
        <v>21</v>
      </c>
      <c r="C19" s="26"/>
      <c r="D19" s="25">
        <v>100000</v>
      </c>
    </row>
    <row r="21" spans="1:7" x14ac:dyDescent="0.3">
      <c r="B21" s="1" t="s">
        <v>22</v>
      </c>
    </row>
    <row r="22" spans="1:7" x14ac:dyDescent="0.3">
      <c r="A22" s="4" t="s">
        <v>0</v>
      </c>
      <c r="B22" s="28" t="s">
        <v>1</v>
      </c>
      <c r="C22" s="4" t="s">
        <v>2</v>
      </c>
      <c r="D22" s="4" t="s">
        <v>3</v>
      </c>
      <c r="F22" s="33" t="s">
        <v>23</v>
      </c>
      <c r="G22" s="34">
        <v>300000</v>
      </c>
    </row>
    <row r="23" spans="1:7" x14ac:dyDescent="0.3">
      <c r="A23" s="24">
        <v>681</v>
      </c>
      <c r="B23" s="24" t="s">
        <v>16</v>
      </c>
      <c r="C23" s="24">
        <f>G23</f>
        <v>12000</v>
      </c>
      <c r="D23" s="27"/>
      <c r="F23" s="35" t="s">
        <v>24</v>
      </c>
      <c r="G23" s="34">
        <f>G22*4%</f>
        <v>12000</v>
      </c>
    </row>
    <row r="24" spans="1:7" x14ac:dyDescent="0.3">
      <c r="A24" s="25">
        <v>281</v>
      </c>
      <c r="B24" s="25" t="s">
        <v>6</v>
      </c>
      <c r="C24" s="26"/>
      <c r="D24" s="25">
        <f>G23</f>
        <v>12000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D018A-ECEE-43AF-BA53-36C667CD6824}">
  <dimension ref="A8:D21"/>
  <sheetViews>
    <sheetView zoomScale="145" zoomScaleNormal="145" workbookViewId="0">
      <selection activeCell="A9" sqref="A9:D9"/>
    </sheetView>
  </sheetViews>
  <sheetFormatPr defaultRowHeight="14.4" x14ac:dyDescent="0.3"/>
  <cols>
    <col min="1" max="1" width="9" customWidth="1"/>
    <col min="2" max="2" width="33.44140625" customWidth="1"/>
    <col min="3" max="4" width="12" customWidth="1"/>
  </cols>
  <sheetData>
    <row r="8" spans="1:4" x14ac:dyDescent="0.3">
      <c r="B8" s="1" t="s">
        <v>25</v>
      </c>
      <c r="C8" s="23"/>
      <c r="D8" s="23"/>
    </row>
    <row r="9" spans="1:4" x14ac:dyDescent="0.3">
      <c r="A9" s="5" t="s">
        <v>0</v>
      </c>
      <c r="B9" s="6" t="s">
        <v>1</v>
      </c>
      <c r="C9" s="5" t="s">
        <v>2</v>
      </c>
      <c r="D9" s="5" t="s">
        <v>3</v>
      </c>
    </row>
    <row r="10" spans="1:4" x14ac:dyDescent="0.3">
      <c r="A10" s="36">
        <v>431</v>
      </c>
      <c r="B10" s="24" t="s">
        <v>26</v>
      </c>
      <c r="C10" s="24">
        <v>2100</v>
      </c>
      <c r="D10" s="37"/>
    </row>
    <row r="11" spans="1:4" x14ac:dyDescent="0.3">
      <c r="A11" s="38">
        <v>700</v>
      </c>
      <c r="B11" s="25" t="s">
        <v>27</v>
      </c>
      <c r="C11" s="25"/>
      <c r="D11" s="39">
        <v>2100</v>
      </c>
    </row>
    <row r="13" spans="1:4" x14ac:dyDescent="0.3">
      <c r="B13" s="1" t="s">
        <v>28</v>
      </c>
      <c r="C13" s="23"/>
      <c r="D13" s="23"/>
    </row>
    <row r="14" spans="1:4" x14ac:dyDescent="0.3">
      <c r="A14" s="5" t="s">
        <v>0</v>
      </c>
      <c r="B14" s="6" t="s">
        <v>1</v>
      </c>
      <c r="C14" s="5" t="s">
        <v>2</v>
      </c>
      <c r="D14" s="5" t="s">
        <v>3</v>
      </c>
    </row>
    <row r="15" spans="1:4" x14ac:dyDescent="0.3">
      <c r="A15" s="36">
        <v>572</v>
      </c>
      <c r="B15" s="24" t="s">
        <v>29</v>
      </c>
      <c r="C15" s="24">
        <v>1050</v>
      </c>
      <c r="D15" s="37"/>
    </row>
    <row r="16" spans="1:4" x14ac:dyDescent="0.3">
      <c r="A16" s="38">
        <v>431</v>
      </c>
      <c r="B16" s="25" t="s">
        <v>26</v>
      </c>
      <c r="C16" s="25"/>
      <c r="D16" s="39">
        <v>1050</v>
      </c>
    </row>
    <row r="18" spans="1:4" x14ac:dyDescent="0.3">
      <c r="B18" s="1" t="s">
        <v>30</v>
      </c>
      <c r="C18" s="23"/>
      <c r="D18" s="23"/>
    </row>
    <row r="19" spans="1:4" x14ac:dyDescent="0.3">
      <c r="A19" s="5" t="s">
        <v>0</v>
      </c>
      <c r="B19" s="6" t="s">
        <v>1</v>
      </c>
      <c r="C19" s="5" t="s">
        <v>2</v>
      </c>
      <c r="D19" s="5" t="s">
        <v>3</v>
      </c>
    </row>
    <row r="20" spans="1:4" x14ac:dyDescent="0.3">
      <c r="A20" s="36">
        <v>572</v>
      </c>
      <c r="B20" s="24" t="s">
        <v>29</v>
      </c>
      <c r="C20" s="24">
        <v>1050</v>
      </c>
      <c r="D20" s="37"/>
    </row>
    <row r="21" spans="1:4" x14ac:dyDescent="0.3">
      <c r="A21" s="38">
        <v>431</v>
      </c>
      <c r="B21" s="25" t="s">
        <v>26</v>
      </c>
      <c r="C21" s="25"/>
      <c r="D21" s="39">
        <v>1050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E878B-B488-4B6F-B4A2-FDD662D10BA6}">
  <dimension ref="A19:D21"/>
  <sheetViews>
    <sheetView zoomScale="115" zoomScaleNormal="115" workbookViewId="0">
      <selection activeCell="E31" sqref="E31"/>
    </sheetView>
  </sheetViews>
  <sheetFormatPr defaultRowHeight="14.4" x14ac:dyDescent="0.3"/>
  <cols>
    <col min="2" max="2" width="48.21875" customWidth="1"/>
  </cols>
  <sheetData>
    <row r="19" spans="1:4" x14ac:dyDescent="0.3">
      <c r="A19" s="5" t="s">
        <v>0</v>
      </c>
      <c r="B19" s="6" t="s">
        <v>1</v>
      </c>
      <c r="C19" s="5" t="s">
        <v>2</v>
      </c>
      <c r="D19" s="5" t="s">
        <v>3</v>
      </c>
    </row>
    <row r="20" spans="1:4" x14ac:dyDescent="0.3">
      <c r="A20" s="36">
        <v>600</v>
      </c>
      <c r="B20" s="24" t="s">
        <v>31</v>
      </c>
      <c r="C20" s="24">
        <v>9600</v>
      </c>
      <c r="D20" s="37"/>
    </row>
    <row r="21" spans="1:4" x14ac:dyDescent="0.3">
      <c r="A21" s="38">
        <v>401</v>
      </c>
      <c r="B21" s="25" t="s">
        <v>32</v>
      </c>
      <c r="C21" s="25"/>
      <c r="D21" s="39">
        <v>9600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17405-59D5-458C-9F4D-3613123ABCE5}">
  <dimension ref="A1:D18"/>
  <sheetViews>
    <sheetView zoomScale="145" zoomScaleNormal="145" workbookViewId="0">
      <selection sqref="A1:D1"/>
    </sheetView>
  </sheetViews>
  <sheetFormatPr defaultRowHeight="14.4" x14ac:dyDescent="0.3"/>
  <cols>
    <col min="1" max="1" width="8.88671875" style="40"/>
    <col min="2" max="2" width="67.77734375" style="40" customWidth="1"/>
    <col min="3" max="3" width="16.21875" customWidth="1"/>
    <col min="4" max="4" width="8.88671875" customWidth="1"/>
  </cols>
  <sheetData>
    <row r="1" spans="1:4" x14ac:dyDescent="0.3">
      <c r="A1" s="42" t="s">
        <v>0</v>
      </c>
      <c r="B1" s="41" t="s">
        <v>1</v>
      </c>
      <c r="C1" s="4" t="s">
        <v>2</v>
      </c>
      <c r="D1" s="4" t="s">
        <v>3</v>
      </c>
    </row>
    <row r="2" spans="1:4" x14ac:dyDescent="0.3">
      <c r="A2" s="43">
        <v>210</v>
      </c>
      <c r="B2" s="47" t="s">
        <v>8</v>
      </c>
      <c r="C2" s="24">
        <v>800000</v>
      </c>
      <c r="D2" s="37"/>
    </row>
    <row r="3" spans="1:4" x14ac:dyDescent="0.3">
      <c r="A3" s="44">
        <v>216</v>
      </c>
      <c r="B3" s="48" t="s">
        <v>33</v>
      </c>
      <c r="C3" s="7">
        <v>200000</v>
      </c>
      <c r="D3" s="45"/>
    </row>
    <row r="4" spans="1:4" x14ac:dyDescent="0.3">
      <c r="A4" s="44">
        <v>217</v>
      </c>
      <c r="B4" s="48" t="s">
        <v>34</v>
      </c>
      <c r="C4" s="7">
        <v>150000</v>
      </c>
      <c r="D4" s="45"/>
    </row>
    <row r="5" spans="1:4" x14ac:dyDescent="0.3">
      <c r="A5" s="44">
        <v>300</v>
      </c>
      <c r="B5" s="48" t="s">
        <v>35</v>
      </c>
      <c r="C5" s="7">
        <v>20000</v>
      </c>
      <c r="D5" s="45"/>
    </row>
    <row r="6" spans="1:4" x14ac:dyDescent="0.3">
      <c r="A6" s="44">
        <v>430</v>
      </c>
      <c r="B6" s="48" t="s">
        <v>36</v>
      </c>
      <c r="C6" s="7">
        <v>35000</v>
      </c>
      <c r="D6" s="45"/>
    </row>
    <row r="7" spans="1:4" x14ac:dyDescent="0.3">
      <c r="A7" s="44">
        <v>431</v>
      </c>
      <c r="B7" s="48" t="s">
        <v>26</v>
      </c>
      <c r="C7" s="7">
        <v>50000</v>
      </c>
      <c r="D7" s="45"/>
    </row>
    <row r="8" spans="1:4" x14ac:dyDescent="0.3">
      <c r="A8" s="44">
        <v>540</v>
      </c>
      <c r="B8" s="48" t="s">
        <v>37</v>
      </c>
      <c r="C8" s="7">
        <v>25100</v>
      </c>
      <c r="D8" s="45"/>
    </row>
    <row r="9" spans="1:4" x14ac:dyDescent="0.3">
      <c r="A9" s="44">
        <v>570</v>
      </c>
      <c r="B9" s="48" t="s">
        <v>38</v>
      </c>
      <c r="C9" s="7">
        <v>700000</v>
      </c>
      <c r="D9" s="45"/>
    </row>
    <row r="10" spans="1:4" x14ac:dyDescent="0.3">
      <c r="A10" s="44">
        <v>572</v>
      </c>
      <c r="B10" s="48" t="s">
        <v>15</v>
      </c>
      <c r="C10" s="7">
        <v>1000000</v>
      </c>
      <c r="D10" s="45"/>
    </row>
    <row r="11" spans="1:4" x14ac:dyDescent="0.3">
      <c r="A11" s="44">
        <v>100</v>
      </c>
      <c r="B11" s="48" t="s">
        <v>39</v>
      </c>
      <c r="C11" s="7"/>
      <c r="D11" s="45">
        <v>1000000</v>
      </c>
    </row>
    <row r="12" spans="1:4" x14ac:dyDescent="0.3">
      <c r="A12" s="44">
        <v>11</v>
      </c>
      <c r="B12" s="48" t="s">
        <v>40</v>
      </c>
      <c r="C12" s="7"/>
      <c r="D12" s="45">
        <v>255000</v>
      </c>
    </row>
    <row r="13" spans="1:4" x14ac:dyDescent="0.3">
      <c r="A13" s="44">
        <v>130</v>
      </c>
      <c r="B13" s="48" t="s">
        <v>41</v>
      </c>
      <c r="C13" s="7"/>
      <c r="D13" s="45">
        <v>200100</v>
      </c>
    </row>
    <row r="14" spans="1:4" x14ac:dyDescent="0.3">
      <c r="A14" s="44">
        <v>171</v>
      </c>
      <c r="B14" s="48" t="s">
        <v>42</v>
      </c>
      <c r="C14" s="7"/>
      <c r="D14" s="45">
        <v>1050000</v>
      </c>
    </row>
    <row r="15" spans="1:4" x14ac:dyDescent="0.3">
      <c r="A15" s="44">
        <v>521</v>
      </c>
      <c r="B15" s="48" t="s">
        <v>43</v>
      </c>
      <c r="C15" s="7"/>
      <c r="D15" s="45">
        <v>20000</v>
      </c>
    </row>
    <row r="16" spans="1:4" x14ac:dyDescent="0.3">
      <c r="A16" s="44">
        <v>400</v>
      </c>
      <c r="B16" s="48" t="s">
        <v>44</v>
      </c>
      <c r="C16" s="7"/>
      <c r="D16" s="45">
        <v>200000</v>
      </c>
    </row>
    <row r="17" spans="1:4" x14ac:dyDescent="0.3">
      <c r="A17" s="46">
        <v>410</v>
      </c>
      <c r="B17" s="49" t="s">
        <v>45</v>
      </c>
      <c r="C17" s="25"/>
      <c r="D17" s="39">
        <v>255000</v>
      </c>
    </row>
    <row r="18" spans="1:4" x14ac:dyDescent="0.3">
      <c r="B18" s="50" t="s">
        <v>46</v>
      </c>
      <c r="C18" s="34">
        <f>SUM(C2:C17)</f>
        <v>2980100</v>
      </c>
      <c r="D18" s="51">
        <f>SUM(D11:D17)</f>
        <v>2980100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EADF1-6E19-4173-9965-B6B3950FDD03}">
  <dimension ref="A5:F244"/>
  <sheetViews>
    <sheetView zoomScale="130" zoomScaleNormal="130" workbookViewId="0">
      <selection activeCell="A14" sqref="A14:D14"/>
    </sheetView>
  </sheetViews>
  <sheetFormatPr defaultRowHeight="14.4" x14ac:dyDescent="0.3"/>
  <cols>
    <col min="1" max="1" width="11.21875" bestFit="1" customWidth="1"/>
    <col min="2" max="2" width="48.33203125" customWidth="1"/>
    <col min="3" max="3" width="14.109375" customWidth="1"/>
    <col min="4" max="4" width="13.88671875" customWidth="1"/>
    <col min="5" max="5" width="11.109375" customWidth="1"/>
    <col min="6" max="6" width="9.77734375" customWidth="1"/>
  </cols>
  <sheetData>
    <row r="5" spans="1:4" x14ac:dyDescent="0.3">
      <c r="A5" s="42" t="s">
        <v>0</v>
      </c>
      <c r="B5" s="41" t="s">
        <v>1</v>
      </c>
      <c r="C5" s="4" t="s">
        <v>2</v>
      </c>
      <c r="D5" s="4" t="s">
        <v>3</v>
      </c>
    </row>
    <row r="6" spans="1:4" x14ac:dyDescent="0.3">
      <c r="A6">
        <v>600</v>
      </c>
      <c r="B6" t="s">
        <v>31</v>
      </c>
      <c r="C6">
        <v>29000</v>
      </c>
    </row>
    <row r="7" spans="1:4" x14ac:dyDescent="0.3">
      <c r="A7">
        <v>472</v>
      </c>
      <c r="B7" t="s">
        <v>101</v>
      </c>
      <c r="C7">
        <v>6090</v>
      </c>
    </row>
    <row r="8" spans="1:4" x14ac:dyDescent="0.3">
      <c r="A8">
        <v>570</v>
      </c>
      <c r="B8" t="s">
        <v>38</v>
      </c>
      <c r="D8">
        <v>17545</v>
      </c>
    </row>
    <row r="9" spans="1:4" x14ac:dyDescent="0.3">
      <c r="A9">
        <v>400</v>
      </c>
      <c r="B9" t="s">
        <v>44</v>
      </c>
      <c r="D9">
        <v>17545</v>
      </c>
    </row>
    <row r="14" spans="1:4" x14ac:dyDescent="0.3">
      <c r="A14" s="42" t="s">
        <v>0</v>
      </c>
      <c r="B14" s="41" t="s">
        <v>1</v>
      </c>
      <c r="C14" s="4" t="s">
        <v>2</v>
      </c>
      <c r="D14" s="4" t="s">
        <v>3</v>
      </c>
    </row>
    <row r="15" spans="1:4" x14ac:dyDescent="0.3">
      <c r="A15">
        <v>600</v>
      </c>
      <c r="B15" t="s">
        <v>31</v>
      </c>
      <c r="C15">
        <v>5850</v>
      </c>
    </row>
    <row r="16" spans="1:4" x14ac:dyDescent="0.3">
      <c r="A16">
        <v>472</v>
      </c>
      <c r="B16" t="s">
        <v>101</v>
      </c>
      <c r="C16">
        <f>C15*21%</f>
        <v>1228.5</v>
      </c>
    </row>
    <row r="17" spans="1:4" x14ac:dyDescent="0.3">
      <c r="A17">
        <v>570</v>
      </c>
      <c r="B17" t="s">
        <v>38</v>
      </c>
      <c r="D17">
        <f>C15+C16</f>
        <v>7078.5</v>
      </c>
    </row>
    <row r="30" spans="1:4" x14ac:dyDescent="0.3">
      <c r="A30" s="42" t="s">
        <v>0</v>
      </c>
      <c r="B30" s="41" t="s">
        <v>1</v>
      </c>
      <c r="C30" s="4" t="s">
        <v>2</v>
      </c>
      <c r="D30" s="4" t="s">
        <v>3</v>
      </c>
    </row>
    <row r="31" spans="1:4" x14ac:dyDescent="0.3">
      <c r="A31">
        <v>640</v>
      </c>
      <c r="B31" t="s">
        <v>47</v>
      </c>
      <c r="C31">
        <v>102000</v>
      </c>
    </row>
    <row r="32" spans="1:4" x14ac:dyDescent="0.3">
      <c r="A32">
        <v>642</v>
      </c>
      <c r="B32" t="s">
        <v>48</v>
      </c>
      <c r="C32">
        <v>30000</v>
      </c>
    </row>
    <row r="33" spans="1:4" x14ac:dyDescent="0.3">
      <c r="A33">
        <v>4751</v>
      </c>
      <c r="B33" t="s">
        <v>96</v>
      </c>
      <c r="D33">
        <v>2000</v>
      </c>
    </row>
    <row r="34" spans="1:4" x14ac:dyDescent="0.3">
      <c r="A34">
        <v>476</v>
      </c>
      <c r="B34" t="s">
        <v>49</v>
      </c>
      <c r="D34">
        <v>35000</v>
      </c>
    </row>
    <row r="35" spans="1:4" x14ac:dyDescent="0.3">
      <c r="A35">
        <v>572</v>
      </c>
      <c r="B35" t="s">
        <v>15</v>
      </c>
      <c r="D35">
        <v>95000</v>
      </c>
    </row>
    <row r="40" spans="1:4" x14ac:dyDescent="0.3">
      <c r="A40" s="42" t="s">
        <v>0</v>
      </c>
      <c r="B40" s="41" t="s">
        <v>1</v>
      </c>
      <c r="C40" s="4" t="s">
        <v>2</v>
      </c>
      <c r="D40" s="4" t="s">
        <v>3</v>
      </c>
    </row>
    <row r="41" spans="1:4" x14ac:dyDescent="0.3">
      <c r="A41">
        <v>650</v>
      </c>
      <c r="B41" t="s">
        <v>50</v>
      </c>
      <c r="C41">
        <v>35000</v>
      </c>
    </row>
    <row r="42" spans="1:4" x14ac:dyDescent="0.3">
      <c r="A42">
        <v>430</v>
      </c>
      <c r="B42" t="s">
        <v>36</v>
      </c>
      <c r="D42">
        <v>35000</v>
      </c>
    </row>
    <row r="47" spans="1:4" x14ac:dyDescent="0.3">
      <c r="A47" s="42" t="s">
        <v>0</v>
      </c>
      <c r="B47" s="41" t="s">
        <v>1</v>
      </c>
      <c r="C47" s="4" t="s">
        <v>2</v>
      </c>
      <c r="D47" s="4" t="s">
        <v>3</v>
      </c>
    </row>
    <row r="48" spans="1:4" x14ac:dyDescent="0.3">
      <c r="A48">
        <v>628</v>
      </c>
      <c r="B48" t="s">
        <v>51</v>
      </c>
      <c r="C48">
        <v>700</v>
      </c>
    </row>
    <row r="49" spans="1:4" x14ac:dyDescent="0.3">
      <c r="A49">
        <v>472</v>
      </c>
      <c r="B49" t="s">
        <v>101</v>
      </c>
      <c r="C49">
        <f>C48*21%</f>
        <v>147</v>
      </c>
    </row>
    <row r="50" spans="1:4" x14ac:dyDescent="0.3">
      <c r="A50">
        <v>572</v>
      </c>
      <c r="B50" t="s">
        <v>15</v>
      </c>
      <c r="D50">
        <f>C49+C48</f>
        <v>847</v>
      </c>
    </row>
    <row r="55" spans="1:4" x14ac:dyDescent="0.3">
      <c r="A55" s="42" t="s">
        <v>0</v>
      </c>
      <c r="B55" s="41" t="s">
        <v>1</v>
      </c>
      <c r="C55" s="4" t="s">
        <v>2</v>
      </c>
      <c r="D55" s="4" t="s">
        <v>3</v>
      </c>
    </row>
    <row r="56" spans="1:4" x14ac:dyDescent="0.3">
      <c r="A56">
        <v>430</v>
      </c>
      <c r="B56" t="s">
        <v>36</v>
      </c>
      <c r="C56">
        <v>8591</v>
      </c>
    </row>
    <row r="57" spans="1:4" x14ac:dyDescent="0.3">
      <c r="A57">
        <v>700</v>
      </c>
      <c r="B57" t="s">
        <v>52</v>
      </c>
      <c r="D57">
        <v>7100</v>
      </c>
    </row>
    <row r="58" spans="1:4" x14ac:dyDescent="0.3">
      <c r="A58">
        <v>477</v>
      </c>
      <c r="B58" t="s">
        <v>97</v>
      </c>
      <c r="D58">
        <f>D57*21%</f>
        <v>1491</v>
      </c>
    </row>
    <row r="67" spans="1:4" x14ac:dyDescent="0.3">
      <c r="A67" s="42" t="s">
        <v>0</v>
      </c>
      <c r="B67" s="41" t="s">
        <v>1</v>
      </c>
      <c r="C67" s="4" t="s">
        <v>2</v>
      </c>
      <c r="D67" s="4" t="s">
        <v>3</v>
      </c>
    </row>
    <row r="68" spans="1:4" x14ac:dyDescent="0.3">
      <c r="A68">
        <v>572</v>
      </c>
      <c r="B68" t="s">
        <v>15</v>
      </c>
      <c r="C68">
        <v>4295.5</v>
      </c>
    </row>
    <row r="69" spans="1:4" x14ac:dyDescent="0.3">
      <c r="A69">
        <v>4310</v>
      </c>
      <c r="B69" t="s">
        <v>53</v>
      </c>
      <c r="C69">
        <v>4295.5</v>
      </c>
    </row>
    <row r="70" spans="1:4" x14ac:dyDescent="0.3">
      <c r="A70">
        <v>430</v>
      </c>
      <c r="B70" t="s">
        <v>36</v>
      </c>
      <c r="D70">
        <v>8591</v>
      </c>
    </row>
    <row r="72" spans="1:4" x14ac:dyDescent="0.3">
      <c r="A72" s="42" t="s">
        <v>0</v>
      </c>
      <c r="B72" s="41" t="s">
        <v>1</v>
      </c>
      <c r="C72" s="4" t="s">
        <v>2</v>
      </c>
      <c r="D72" s="4" t="s">
        <v>3</v>
      </c>
    </row>
    <row r="73" spans="1:4" x14ac:dyDescent="0.3">
      <c r="A73">
        <v>4312</v>
      </c>
      <c r="B73" t="s">
        <v>54</v>
      </c>
      <c r="C73">
        <f>C68/4</f>
        <v>1073.875</v>
      </c>
    </row>
    <row r="74" spans="1:4" x14ac:dyDescent="0.3">
      <c r="A74">
        <v>4310</v>
      </c>
      <c r="B74" t="s">
        <v>53</v>
      </c>
      <c r="D74">
        <f>C73</f>
        <v>1073.875</v>
      </c>
    </row>
    <row r="76" spans="1:4" x14ac:dyDescent="0.3">
      <c r="A76" s="42" t="s">
        <v>0</v>
      </c>
      <c r="B76" s="41" t="s">
        <v>1</v>
      </c>
      <c r="C76" s="4" t="s">
        <v>2</v>
      </c>
      <c r="D76" s="4" t="s">
        <v>3</v>
      </c>
    </row>
    <row r="77" spans="1:4" x14ac:dyDescent="0.3">
      <c r="A77">
        <v>4311</v>
      </c>
      <c r="B77" t="s">
        <v>55</v>
      </c>
      <c r="C77">
        <f>C68-C73</f>
        <v>3221.625</v>
      </c>
    </row>
    <row r="78" spans="1:4" x14ac:dyDescent="0.3">
      <c r="A78">
        <v>4310</v>
      </c>
      <c r="B78" t="s">
        <v>53</v>
      </c>
      <c r="D78">
        <f>C77</f>
        <v>3221.625</v>
      </c>
    </row>
    <row r="80" spans="1:4" x14ac:dyDescent="0.3">
      <c r="A80" s="42" t="s">
        <v>0</v>
      </c>
      <c r="B80" s="41" t="s">
        <v>1</v>
      </c>
      <c r="C80" s="4" t="s">
        <v>2</v>
      </c>
      <c r="D80" s="4" t="s">
        <v>3</v>
      </c>
    </row>
    <row r="81" spans="1:4" x14ac:dyDescent="0.3">
      <c r="A81">
        <v>572</v>
      </c>
      <c r="B81" t="s">
        <v>15</v>
      </c>
      <c r="C81">
        <f>D83-C82</f>
        <v>3157.1925000000001</v>
      </c>
    </row>
    <row r="82" spans="1:4" x14ac:dyDescent="0.3">
      <c r="A82">
        <v>665</v>
      </c>
      <c r="B82" t="s">
        <v>56</v>
      </c>
      <c r="C82">
        <f>C77*2%</f>
        <v>64.432500000000005</v>
      </c>
    </row>
    <row r="83" spans="1:4" x14ac:dyDescent="0.3">
      <c r="A83">
        <v>5208</v>
      </c>
      <c r="B83" t="s">
        <v>57</v>
      </c>
      <c r="D83">
        <f>D78</f>
        <v>3221.625</v>
      </c>
    </row>
    <row r="90" spans="1:4" x14ac:dyDescent="0.3">
      <c r="A90" s="42" t="s">
        <v>0</v>
      </c>
      <c r="B90" s="41" t="s">
        <v>1</v>
      </c>
      <c r="C90" s="4" t="s">
        <v>2</v>
      </c>
      <c r="D90" s="4" t="s">
        <v>3</v>
      </c>
    </row>
    <row r="91" spans="1:4" x14ac:dyDescent="0.3">
      <c r="A91">
        <v>572</v>
      </c>
      <c r="B91" t="s">
        <v>15</v>
      </c>
      <c r="C91">
        <f>D93-C92</f>
        <v>1043.875</v>
      </c>
    </row>
    <row r="92" spans="1:4" x14ac:dyDescent="0.3">
      <c r="A92">
        <v>626</v>
      </c>
      <c r="B92" t="s">
        <v>58</v>
      </c>
      <c r="C92">
        <v>30</v>
      </c>
    </row>
    <row r="93" spans="1:4" x14ac:dyDescent="0.3">
      <c r="A93">
        <v>4312</v>
      </c>
      <c r="B93" t="s">
        <v>54</v>
      </c>
      <c r="D93">
        <f>C73</f>
        <v>1073.875</v>
      </c>
    </row>
    <row r="95" spans="1:4" x14ac:dyDescent="0.3">
      <c r="A95" s="42" t="s">
        <v>0</v>
      </c>
      <c r="B95" s="41" t="s">
        <v>1</v>
      </c>
      <c r="C95" s="4" t="s">
        <v>2</v>
      </c>
      <c r="D95" s="4" t="s">
        <v>3</v>
      </c>
    </row>
    <row r="96" spans="1:4" x14ac:dyDescent="0.3">
      <c r="A96">
        <v>5208</v>
      </c>
      <c r="B96" t="s">
        <v>57</v>
      </c>
      <c r="C96">
        <f>C77</f>
        <v>3221.625</v>
      </c>
    </row>
    <row r="97" spans="1:4" x14ac:dyDescent="0.3">
      <c r="A97">
        <v>4311</v>
      </c>
      <c r="B97" t="s">
        <v>55</v>
      </c>
      <c r="D97">
        <f>C96</f>
        <v>3221.625</v>
      </c>
    </row>
    <row r="101" spans="1:4" x14ac:dyDescent="0.3">
      <c r="A101" s="42" t="s">
        <v>0</v>
      </c>
      <c r="B101" s="41" t="s">
        <v>1</v>
      </c>
      <c r="C101" s="4" t="s">
        <v>2</v>
      </c>
      <c r="D101" s="4" t="s">
        <v>3</v>
      </c>
    </row>
    <row r="102" spans="1:4" x14ac:dyDescent="0.3">
      <c r="A102">
        <v>626</v>
      </c>
      <c r="B102" t="s">
        <v>58</v>
      </c>
      <c r="C102">
        <v>250</v>
      </c>
    </row>
    <row r="103" spans="1:4" x14ac:dyDescent="0.3">
      <c r="A103">
        <v>572</v>
      </c>
      <c r="B103" t="s">
        <v>15</v>
      </c>
      <c r="D103">
        <v>250</v>
      </c>
    </row>
    <row r="108" spans="1:4" x14ac:dyDescent="0.3">
      <c r="A108" s="42" t="s">
        <v>0</v>
      </c>
      <c r="B108" s="41" t="s">
        <v>1</v>
      </c>
      <c r="C108" s="4" t="s">
        <v>2</v>
      </c>
      <c r="D108" s="4" t="s">
        <v>3</v>
      </c>
    </row>
    <row r="109" spans="1:4" x14ac:dyDescent="0.3">
      <c r="A109">
        <v>572</v>
      </c>
      <c r="B109" t="s">
        <v>15</v>
      </c>
      <c r="C109">
        <f>D111-C110</f>
        <v>810</v>
      </c>
    </row>
    <row r="110" spans="1:4" x14ac:dyDescent="0.3">
      <c r="A110">
        <v>473</v>
      </c>
      <c r="B110" t="s">
        <v>96</v>
      </c>
      <c r="C110">
        <f>D111*19%</f>
        <v>190</v>
      </c>
    </row>
    <row r="111" spans="1:4" x14ac:dyDescent="0.3">
      <c r="A111">
        <v>769</v>
      </c>
      <c r="B111" t="s">
        <v>59</v>
      </c>
      <c r="D111">
        <v>1000</v>
      </c>
    </row>
    <row r="118" spans="1:4" x14ac:dyDescent="0.3">
      <c r="A118" s="42" t="s">
        <v>0</v>
      </c>
      <c r="B118" s="41" t="s">
        <v>1</v>
      </c>
      <c r="C118" s="4" t="s">
        <v>2</v>
      </c>
      <c r="D118" s="4" t="s">
        <v>3</v>
      </c>
    </row>
    <row r="119" spans="1:4" x14ac:dyDescent="0.3">
      <c r="A119">
        <v>211</v>
      </c>
      <c r="B119" t="s">
        <v>9</v>
      </c>
      <c r="C119">
        <v>240000</v>
      </c>
    </row>
    <row r="120" spans="1:4" x14ac:dyDescent="0.3">
      <c r="A120">
        <v>572</v>
      </c>
      <c r="B120" t="s">
        <v>15</v>
      </c>
      <c r="D120">
        <v>3000</v>
      </c>
    </row>
    <row r="121" spans="1:4" x14ac:dyDescent="0.3">
      <c r="A121">
        <v>210</v>
      </c>
      <c r="B121" t="s">
        <v>8</v>
      </c>
      <c r="D121">
        <v>200000</v>
      </c>
    </row>
    <row r="122" spans="1:4" x14ac:dyDescent="0.3">
      <c r="A122">
        <v>771</v>
      </c>
      <c r="B122" t="s">
        <v>60</v>
      </c>
      <c r="D122">
        <v>37000</v>
      </c>
    </row>
    <row r="128" spans="1:4" x14ac:dyDescent="0.3">
      <c r="A128" s="42" t="s">
        <v>0</v>
      </c>
      <c r="B128" s="41" t="s">
        <v>1</v>
      </c>
      <c r="C128" s="4" t="s">
        <v>2</v>
      </c>
      <c r="D128" s="4" t="s">
        <v>3</v>
      </c>
    </row>
    <row r="129" spans="1:4" x14ac:dyDescent="0.3">
      <c r="A129">
        <v>250</v>
      </c>
      <c r="B129" t="s">
        <v>61</v>
      </c>
      <c r="C129">
        <v>5750</v>
      </c>
    </row>
    <row r="130" spans="1:4" x14ac:dyDescent="0.3">
      <c r="A130">
        <v>572</v>
      </c>
      <c r="B130" t="s">
        <v>15</v>
      </c>
      <c r="D130">
        <v>5750</v>
      </c>
    </row>
    <row r="137" spans="1:4" x14ac:dyDescent="0.3">
      <c r="A137" s="42" t="s">
        <v>0</v>
      </c>
      <c r="B137" s="41" t="s">
        <v>1</v>
      </c>
      <c r="C137" s="4" t="s">
        <v>2</v>
      </c>
      <c r="D137" s="4" t="s">
        <v>3</v>
      </c>
    </row>
    <row r="138" spans="1:4" x14ac:dyDescent="0.3">
      <c r="A138">
        <v>600</v>
      </c>
      <c r="B138" t="s">
        <v>31</v>
      </c>
      <c r="C138">
        <f>99000+6000</f>
        <v>105000</v>
      </c>
    </row>
    <row r="139" spans="1:4" x14ac:dyDescent="0.3">
      <c r="A139">
        <v>472</v>
      </c>
      <c r="B139" t="s">
        <v>101</v>
      </c>
      <c r="C139">
        <f>C138*21%</f>
        <v>22050</v>
      </c>
    </row>
    <row r="140" spans="1:4" x14ac:dyDescent="0.3">
      <c r="A140">
        <v>572</v>
      </c>
      <c r="B140" t="s">
        <v>15</v>
      </c>
      <c r="D140">
        <f>C138+C139</f>
        <v>127050</v>
      </c>
    </row>
    <row r="146" spans="1:4" x14ac:dyDescent="0.3">
      <c r="A146" s="42" t="s">
        <v>0</v>
      </c>
      <c r="B146" s="41" t="s">
        <v>1</v>
      </c>
      <c r="C146" s="4" t="s">
        <v>2</v>
      </c>
      <c r="D146" s="4" t="s">
        <v>3</v>
      </c>
    </row>
    <row r="147" spans="1:4" x14ac:dyDescent="0.3">
      <c r="A147">
        <v>631</v>
      </c>
      <c r="B147" t="s">
        <v>62</v>
      </c>
      <c r="C147">
        <v>25000</v>
      </c>
    </row>
    <row r="148" spans="1:4" x14ac:dyDescent="0.3">
      <c r="A148">
        <v>572</v>
      </c>
      <c r="B148" t="s">
        <v>15</v>
      </c>
      <c r="D148">
        <v>25000</v>
      </c>
    </row>
    <row r="153" spans="1:4" x14ac:dyDescent="0.3">
      <c r="A153" s="42" t="s">
        <v>0</v>
      </c>
      <c r="B153" s="41" t="s">
        <v>1</v>
      </c>
      <c r="C153" s="4" t="s">
        <v>2</v>
      </c>
      <c r="D153" s="4" t="s">
        <v>3</v>
      </c>
    </row>
    <row r="154" spans="1:4" x14ac:dyDescent="0.3">
      <c r="A154">
        <v>570</v>
      </c>
      <c r="B154" t="s">
        <v>38</v>
      </c>
      <c r="C154">
        <f>D155+D156</f>
        <v>2420000</v>
      </c>
    </row>
    <row r="155" spans="1:4" x14ac:dyDescent="0.3">
      <c r="A155">
        <v>700</v>
      </c>
      <c r="B155" t="s">
        <v>52</v>
      </c>
      <c r="D155">
        <v>2000000</v>
      </c>
    </row>
    <row r="156" spans="1:4" x14ac:dyDescent="0.3">
      <c r="A156">
        <v>477</v>
      </c>
      <c r="B156" t="s">
        <v>97</v>
      </c>
      <c r="D156">
        <f>D155*21%</f>
        <v>420000</v>
      </c>
    </row>
    <row r="162" spans="1:4" x14ac:dyDescent="0.3">
      <c r="A162" s="42" t="s">
        <v>0</v>
      </c>
      <c r="B162" s="41" t="s">
        <v>1</v>
      </c>
      <c r="C162" s="4" t="s">
        <v>2</v>
      </c>
      <c r="D162" s="4" t="s">
        <v>3</v>
      </c>
    </row>
    <row r="163" spans="1:4" x14ac:dyDescent="0.3">
      <c r="A163">
        <v>623</v>
      </c>
      <c r="B163" t="s">
        <v>63</v>
      </c>
      <c r="C163">
        <v>6000</v>
      </c>
    </row>
    <row r="164" spans="1:4" x14ac:dyDescent="0.3">
      <c r="A164">
        <v>472</v>
      </c>
      <c r="B164" t="s">
        <v>98</v>
      </c>
      <c r="C164">
        <f>C163*21%</f>
        <v>1260</v>
      </c>
    </row>
    <row r="165" spans="1:4" x14ac:dyDescent="0.3">
      <c r="A165">
        <v>4751</v>
      </c>
      <c r="B165" t="s">
        <v>99</v>
      </c>
      <c r="D165">
        <f>C163*15%</f>
        <v>900</v>
      </c>
    </row>
    <row r="166" spans="1:4" x14ac:dyDescent="0.3">
      <c r="A166">
        <v>572</v>
      </c>
      <c r="B166" t="s">
        <v>15</v>
      </c>
      <c r="D166">
        <f>C163+C164-D165</f>
        <v>6360</v>
      </c>
    </row>
    <row r="171" spans="1:4" x14ac:dyDescent="0.3">
      <c r="A171" s="42" t="s">
        <v>0</v>
      </c>
      <c r="B171" s="41" t="s">
        <v>1</v>
      </c>
      <c r="C171" s="4" t="s">
        <v>2</v>
      </c>
      <c r="D171" s="4" t="s">
        <v>3</v>
      </c>
    </row>
    <row r="172" spans="1:4" x14ac:dyDescent="0.3">
      <c r="A172">
        <v>213</v>
      </c>
      <c r="B172" t="s">
        <v>14</v>
      </c>
      <c r="C172">
        <v>209000</v>
      </c>
    </row>
    <row r="173" spans="1:4" x14ac:dyDescent="0.3">
      <c r="A173">
        <v>472</v>
      </c>
      <c r="B173" t="s">
        <v>96</v>
      </c>
      <c r="C173">
        <f>C172*21%</f>
        <v>43890</v>
      </c>
    </row>
    <row r="174" spans="1:4" x14ac:dyDescent="0.3">
      <c r="A174">
        <v>173</v>
      </c>
      <c r="B174" t="s">
        <v>64</v>
      </c>
      <c r="D174">
        <f>C172+C173</f>
        <v>252890</v>
      </c>
    </row>
    <row r="179" spans="1:4" x14ac:dyDescent="0.3">
      <c r="A179" s="42" t="s">
        <v>0</v>
      </c>
      <c r="B179" s="41" t="s">
        <v>1</v>
      </c>
      <c r="C179" s="4" t="s">
        <v>2</v>
      </c>
      <c r="D179" s="4" t="s">
        <v>3</v>
      </c>
    </row>
    <row r="180" spans="1:4" x14ac:dyDescent="0.3">
      <c r="A180">
        <v>521</v>
      </c>
      <c r="B180" t="s">
        <v>43</v>
      </c>
      <c r="C180">
        <v>20000</v>
      </c>
    </row>
    <row r="181" spans="1:4" x14ac:dyDescent="0.3">
      <c r="A181">
        <v>662</v>
      </c>
      <c r="B181" t="s">
        <v>65</v>
      </c>
      <c r="C181">
        <v>10000</v>
      </c>
    </row>
    <row r="182" spans="1:4" x14ac:dyDescent="0.3">
      <c r="A182">
        <v>572</v>
      </c>
      <c r="B182" t="s">
        <v>15</v>
      </c>
      <c r="D182">
        <f>C181+C180</f>
        <v>30000</v>
      </c>
    </row>
    <row r="187" spans="1:4" x14ac:dyDescent="0.3">
      <c r="A187" s="42" t="s">
        <v>0</v>
      </c>
      <c r="B187" s="41" t="s">
        <v>1</v>
      </c>
      <c r="C187" s="4" t="s">
        <v>2</v>
      </c>
      <c r="D187" s="4" t="s">
        <v>3</v>
      </c>
    </row>
    <row r="188" spans="1:4" x14ac:dyDescent="0.3">
      <c r="A188">
        <v>250</v>
      </c>
      <c r="B188" t="s">
        <v>66</v>
      </c>
      <c r="C188">
        <f>-C129+(6.25*1000)</f>
        <v>500</v>
      </c>
    </row>
    <row r="189" spans="1:4" x14ac:dyDescent="0.3">
      <c r="A189">
        <v>900</v>
      </c>
      <c r="B189" t="s">
        <v>67</v>
      </c>
      <c r="D189">
        <f>C188</f>
        <v>500</v>
      </c>
    </row>
    <row r="191" spans="1:4" x14ac:dyDescent="0.3">
      <c r="A191" s="42" t="s">
        <v>0</v>
      </c>
      <c r="B191" s="41" t="s">
        <v>1</v>
      </c>
      <c r="C191" s="4" t="s">
        <v>2</v>
      </c>
      <c r="D191" s="4" t="s">
        <v>3</v>
      </c>
    </row>
    <row r="192" spans="1:4" x14ac:dyDescent="0.3">
      <c r="A192">
        <v>900</v>
      </c>
      <c r="B192" t="s">
        <v>67</v>
      </c>
      <c r="C192">
        <f>C188</f>
        <v>500</v>
      </c>
    </row>
    <row r="193" spans="1:4" x14ac:dyDescent="0.3">
      <c r="A193">
        <v>133</v>
      </c>
      <c r="B193" t="s">
        <v>68</v>
      </c>
      <c r="D193">
        <f>D189</f>
        <v>500</v>
      </c>
    </row>
    <row r="198" spans="1:4" x14ac:dyDescent="0.3">
      <c r="A198" s="42" t="s">
        <v>0</v>
      </c>
      <c r="B198" s="41" t="s">
        <v>1</v>
      </c>
      <c r="C198" s="4" t="s">
        <v>2</v>
      </c>
      <c r="D198" s="4" t="s">
        <v>3</v>
      </c>
    </row>
    <row r="199" spans="1:4" x14ac:dyDescent="0.3">
      <c r="A199">
        <v>681</v>
      </c>
      <c r="B199" t="s">
        <v>16</v>
      </c>
      <c r="C199">
        <v>16000</v>
      </c>
    </row>
    <row r="200" spans="1:4" x14ac:dyDescent="0.3">
      <c r="A200">
        <v>281</v>
      </c>
      <c r="B200" t="s">
        <v>6</v>
      </c>
      <c r="D200">
        <v>16000</v>
      </c>
    </row>
    <row r="209" spans="1:6" x14ac:dyDescent="0.3">
      <c r="A209" s="42" t="s">
        <v>0</v>
      </c>
      <c r="B209" s="41" t="s">
        <v>1</v>
      </c>
      <c r="C209" s="4" t="s">
        <v>2</v>
      </c>
      <c r="D209" s="4" t="s">
        <v>3</v>
      </c>
    </row>
    <row r="210" spans="1:6" x14ac:dyDescent="0.3">
      <c r="A210">
        <v>217</v>
      </c>
      <c r="B210" t="s">
        <v>69</v>
      </c>
      <c r="C210">
        <f>D212+D213-C211</f>
        <v>47000</v>
      </c>
    </row>
    <row r="211" spans="1:6" x14ac:dyDescent="0.3">
      <c r="A211">
        <v>281</v>
      </c>
      <c r="B211" t="s">
        <v>6</v>
      </c>
      <c r="C211">
        <f>9000</f>
        <v>9000</v>
      </c>
    </row>
    <row r="212" spans="1:6" x14ac:dyDescent="0.3">
      <c r="A212">
        <v>217</v>
      </c>
      <c r="B212" t="s">
        <v>70</v>
      </c>
      <c r="D212">
        <v>55000</v>
      </c>
    </row>
    <row r="213" spans="1:6" x14ac:dyDescent="0.3">
      <c r="A213">
        <v>572</v>
      </c>
      <c r="B213" t="s">
        <v>29</v>
      </c>
      <c r="D213">
        <v>1000</v>
      </c>
    </row>
    <row r="220" spans="1:6" x14ac:dyDescent="0.3">
      <c r="A220" s="4" t="s">
        <v>71</v>
      </c>
      <c r="B220" s="4" t="s">
        <v>72</v>
      </c>
      <c r="C220" s="4" t="s">
        <v>73</v>
      </c>
      <c r="D220" s="4" t="s">
        <v>74</v>
      </c>
      <c r="E220" s="4" t="s">
        <v>75</v>
      </c>
      <c r="F220" s="4" t="s">
        <v>76</v>
      </c>
    </row>
    <row r="221" spans="1:6" x14ac:dyDescent="0.3">
      <c r="A221" s="3">
        <v>0</v>
      </c>
      <c r="B221" s="2" t="s">
        <v>77</v>
      </c>
      <c r="C221" s="3">
        <v>1000</v>
      </c>
      <c r="D221" s="3">
        <v>20</v>
      </c>
      <c r="E221" s="3"/>
      <c r="F221" s="3"/>
    </row>
    <row r="222" spans="1:6" ht="36" customHeight="1" x14ac:dyDescent="0.3">
      <c r="A222" s="52" t="s">
        <v>78</v>
      </c>
      <c r="B222" s="2" t="s">
        <v>81</v>
      </c>
      <c r="C222" s="2" t="s">
        <v>79</v>
      </c>
      <c r="D222" s="3">
        <f>(29000+5850)/1700</f>
        <v>20.5</v>
      </c>
      <c r="E222" s="3"/>
      <c r="F222" s="2" t="s">
        <v>80</v>
      </c>
    </row>
    <row r="223" spans="1:6" ht="28.8" x14ac:dyDescent="0.3">
      <c r="A223" s="3">
        <v>6</v>
      </c>
      <c r="B223" s="2" t="s">
        <v>82</v>
      </c>
      <c r="C223" s="2" t="s">
        <v>83</v>
      </c>
      <c r="D223" s="3"/>
      <c r="E223" s="3" t="s">
        <v>84</v>
      </c>
      <c r="F223" s="2" t="s">
        <v>85</v>
      </c>
    </row>
    <row r="224" spans="1:6" ht="43.2" x14ac:dyDescent="0.3">
      <c r="A224" s="3">
        <v>13</v>
      </c>
      <c r="B224" s="2" t="s">
        <v>81</v>
      </c>
      <c r="C224" s="2" t="s">
        <v>86</v>
      </c>
      <c r="D224" s="3">
        <f>(99000+6000)/5000</f>
        <v>21</v>
      </c>
      <c r="E224" s="3"/>
      <c r="F224" s="2" t="s">
        <v>87</v>
      </c>
    </row>
    <row r="225" spans="1:6" ht="57.6" x14ac:dyDescent="0.3">
      <c r="A225" s="3">
        <v>15</v>
      </c>
      <c r="B225" s="2" t="s">
        <v>82</v>
      </c>
      <c r="C225" s="2" t="s">
        <v>88</v>
      </c>
      <c r="D225" s="3"/>
      <c r="E225" s="2" t="s">
        <v>89</v>
      </c>
      <c r="F225" s="3" t="s">
        <v>90</v>
      </c>
    </row>
    <row r="226" spans="1:6" x14ac:dyDescent="0.3">
      <c r="A226" s="3"/>
      <c r="B226" s="3"/>
      <c r="C226" s="3"/>
      <c r="D226" s="3"/>
      <c r="E226" s="3"/>
      <c r="F226" s="3"/>
    </row>
    <row r="227" spans="1:6" x14ac:dyDescent="0.3">
      <c r="A227" s="42" t="s">
        <v>0</v>
      </c>
      <c r="B227" s="41" t="s">
        <v>1</v>
      </c>
      <c r="C227" s="4" t="s">
        <v>2</v>
      </c>
      <c r="D227" s="4" t="s">
        <v>3</v>
      </c>
      <c r="E227" s="3"/>
      <c r="F227" s="3"/>
    </row>
    <row r="228" spans="1:6" x14ac:dyDescent="0.3">
      <c r="A228">
        <v>610</v>
      </c>
      <c r="B228" s="3" t="s">
        <v>91</v>
      </c>
      <c r="C228" s="3">
        <v>20000</v>
      </c>
      <c r="D228" s="3"/>
      <c r="E228" s="3"/>
      <c r="F228" s="3"/>
    </row>
    <row r="229" spans="1:6" x14ac:dyDescent="0.3">
      <c r="A229">
        <v>300</v>
      </c>
      <c r="B229" s="3" t="s">
        <v>92</v>
      </c>
      <c r="C229" s="3"/>
      <c r="D229" s="3">
        <v>20000</v>
      </c>
      <c r="E229" s="3"/>
      <c r="F229" s="3"/>
    </row>
    <row r="230" spans="1:6" x14ac:dyDescent="0.3">
      <c r="A230" s="3"/>
      <c r="B230" s="3"/>
      <c r="C230" s="3"/>
      <c r="D230" s="3"/>
      <c r="E230" s="3"/>
      <c r="F230" s="3"/>
    </row>
    <row r="231" spans="1:6" x14ac:dyDescent="0.3">
      <c r="A231" s="42" t="s">
        <v>0</v>
      </c>
      <c r="B231" s="41" t="s">
        <v>1</v>
      </c>
      <c r="C231" s="4" t="s">
        <v>2</v>
      </c>
      <c r="D231" s="4" t="s">
        <v>3</v>
      </c>
    </row>
    <row r="232" spans="1:6" x14ac:dyDescent="0.3">
      <c r="A232">
        <v>300</v>
      </c>
      <c r="B232" s="53" t="s">
        <v>35</v>
      </c>
      <c r="C232">
        <f>1170*21</f>
        <v>24570</v>
      </c>
    </row>
    <row r="233" spans="1:6" x14ac:dyDescent="0.3">
      <c r="A233">
        <v>610</v>
      </c>
      <c r="B233" s="53" t="s">
        <v>93</v>
      </c>
      <c r="D233">
        <f>C232</f>
        <v>24570</v>
      </c>
    </row>
    <row r="235" spans="1:6" x14ac:dyDescent="0.3">
      <c r="A235" s="42" t="s">
        <v>0</v>
      </c>
      <c r="B235" s="41" t="s">
        <v>1</v>
      </c>
      <c r="C235" s="4" t="s">
        <v>2</v>
      </c>
      <c r="D235" s="4" t="s">
        <v>3</v>
      </c>
    </row>
    <row r="236" spans="1:6" x14ac:dyDescent="0.3">
      <c r="A236">
        <v>693</v>
      </c>
      <c r="B236" t="s">
        <v>94</v>
      </c>
      <c r="C236">
        <f>1170*(21-19.5)</f>
        <v>1755</v>
      </c>
    </row>
    <row r="237" spans="1:6" x14ac:dyDescent="0.3">
      <c r="A237">
        <v>391</v>
      </c>
      <c r="B237" t="s">
        <v>95</v>
      </c>
      <c r="D237">
        <f>C236</f>
        <v>1755</v>
      </c>
    </row>
    <row r="241" spans="1:4" x14ac:dyDescent="0.3">
      <c r="A241" s="42" t="s">
        <v>0</v>
      </c>
      <c r="B241" s="41" t="s">
        <v>1</v>
      </c>
      <c r="C241" s="4" t="s">
        <v>2</v>
      </c>
      <c r="D241" s="4" t="s">
        <v>3</v>
      </c>
    </row>
    <row r="242" spans="1:4" x14ac:dyDescent="0.3">
      <c r="A242">
        <v>477</v>
      </c>
      <c r="B242" t="s">
        <v>97</v>
      </c>
      <c r="C242">
        <f ca="1">SUMIF(A1:A244,"=477",D1:D237)</f>
        <v>421491</v>
      </c>
    </row>
    <row r="243" spans="1:4" x14ac:dyDescent="0.3">
      <c r="A243">
        <v>472</v>
      </c>
      <c r="B243" t="s">
        <v>98</v>
      </c>
      <c r="D243">
        <f>SUMIF(A1:A244,"=472",C1:C244)</f>
        <v>74665.5</v>
      </c>
    </row>
    <row r="244" spans="1:4" x14ac:dyDescent="0.3">
      <c r="A244">
        <v>4750</v>
      </c>
      <c r="B244" t="s">
        <v>100</v>
      </c>
      <c r="D244">
        <f ca="1">C242-D243</f>
        <v>346825.5</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7F65F-DB9D-4904-BBC8-4E20E78641F6}">
  <dimension ref="A2:D41"/>
  <sheetViews>
    <sheetView tabSelected="1" topLeftCell="A6" workbookViewId="0">
      <selection activeCell="C16" sqref="C16"/>
    </sheetView>
  </sheetViews>
  <sheetFormatPr defaultRowHeight="14.4" x14ac:dyDescent="0.3"/>
  <cols>
    <col min="1" max="1" width="13.44140625" style="1" customWidth="1"/>
    <col min="2" max="2" width="41.5546875" customWidth="1"/>
    <col min="3" max="3" width="18.44140625" customWidth="1"/>
    <col min="4" max="4" width="10.77734375" customWidth="1"/>
  </cols>
  <sheetData>
    <row r="2" spans="1:3" x14ac:dyDescent="0.3">
      <c r="A2" s="54" t="s">
        <v>103</v>
      </c>
      <c r="B2" s="55"/>
      <c r="C2" s="56"/>
    </row>
    <row r="3" spans="1:3" x14ac:dyDescent="0.3">
      <c r="A3" s="20">
        <v>700</v>
      </c>
      <c r="B3" s="34" t="s">
        <v>27</v>
      </c>
      <c r="C3" s="34">
        <f>SUMIF('Parte B. Contabilidad 20X1'!A1:A244,"="&amp;A3,'Parte B. Contabilidad 20X1'!D1:D244)</f>
        <v>2007100</v>
      </c>
    </row>
    <row r="4" spans="1:3" x14ac:dyDescent="0.3">
      <c r="A4" s="20">
        <v>769</v>
      </c>
      <c r="B4" s="34" t="s">
        <v>59</v>
      </c>
      <c r="C4" s="34">
        <f>SUMIF('Parte B. Contabilidad 20X1'!A2:A245,"="&amp;A4,'Parte B. Contabilidad 20X1'!D2:D245)</f>
        <v>1000</v>
      </c>
    </row>
    <row r="5" spans="1:3" x14ac:dyDescent="0.3">
      <c r="A5" s="20">
        <v>771</v>
      </c>
      <c r="B5" s="34" t="s">
        <v>104</v>
      </c>
      <c r="C5" s="34">
        <f>SUMIF('Parte B. Contabilidad 20X1'!A3:A246,"="&amp;A5,'Parte B. Contabilidad 20X1'!D3:D246)</f>
        <v>37000</v>
      </c>
    </row>
    <row r="6" spans="1:3" x14ac:dyDescent="0.3">
      <c r="A6" s="57" t="s">
        <v>102</v>
      </c>
      <c r="B6" s="57"/>
      <c r="C6" s="34">
        <f>SUM(C3:C5)</f>
        <v>2045100</v>
      </c>
    </row>
    <row r="7" spans="1:3" x14ac:dyDescent="0.3">
      <c r="A7" s="54" t="s">
        <v>105</v>
      </c>
      <c r="B7" s="55"/>
      <c r="C7" s="56"/>
    </row>
    <row r="8" spans="1:3" x14ac:dyDescent="0.3">
      <c r="A8" s="58">
        <v>600</v>
      </c>
      <c r="B8" t="s">
        <v>31</v>
      </c>
      <c r="C8" s="34">
        <f>SUMIF('Parte B. Contabilidad 20X1'!A1:A249,"="&amp;A8,'Parte B. Contabilidad 20X1'!C1:C249)</f>
        <v>139850</v>
      </c>
    </row>
    <row r="9" spans="1:3" x14ac:dyDescent="0.3">
      <c r="A9" s="58">
        <v>610</v>
      </c>
      <c r="B9" t="s">
        <v>107</v>
      </c>
      <c r="C9" s="34">
        <f>SUMIF('Parte B. Contabilidad 20X1'!A2:A250,"="&amp;A9,'Parte B. Contabilidad 20X1'!C2:C250)-SUMIF('Parte B. Contabilidad 20X1'!A1:A244,"="&amp;'Parte B. Asiento reg.'!A9,'Parte B. Contabilidad 20X1'!D1:D244)</f>
        <v>-4570</v>
      </c>
    </row>
    <row r="10" spans="1:3" x14ac:dyDescent="0.3">
      <c r="A10" s="58">
        <v>623</v>
      </c>
      <c r="B10" t="s">
        <v>63</v>
      </c>
      <c r="C10" s="34">
        <f>SUMIF('Parte B. Contabilidad 20X1'!A3:A251,"="&amp;A10,'Parte B. Contabilidad 20X1'!C3:C251)-SUMIF('Parte B. Contabilidad 20X1'!A2:A245,"="&amp;'Parte B. Asiento reg.'!A10,'Parte B. Contabilidad 20X1'!D2:D245)</f>
        <v>6000</v>
      </c>
    </row>
    <row r="11" spans="1:3" x14ac:dyDescent="0.3">
      <c r="A11" s="58">
        <v>626</v>
      </c>
      <c r="B11" t="s">
        <v>58</v>
      </c>
      <c r="C11" s="34">
        <f>SUMIF('Parte B. Contabilidad 20X1'!A4:A252,"="&amp;A11,'Parte B. Contabilidad 20X1'!C4:C252)-SUMIF('Parte B. Contabilidad 20X1'!A3:A246,"="&amp;'Parte B. Asiento reg.'!A11,'Parte B. Contabilidad 20X1'!D3:D246)</f>
        <v>280</v>
      </c>
    </row>
    <row r="12" spans="1:3" x14ac:dyDescent="0.3">
      <c r="A12" s="58">
        <v>628</v>
      </c>
      <c r="B12" t="s">
        <v>51</v>
      </c>
      <c r="C12" s="34">
        <f>SUMIF('Parte B. Contabilidad 20X1'!A5:A253,"="&amp;A12,'Parte B. Contabilidad 20X1'!C5:C253)-SUMIF('Parte B. Contabilidad 20X1'!A4:A247,"="&amp;'Parte B. Asiento reg.'!A12,'Parte B. Contabilidad 20X1'!D4:D247)</f>
        <v>700</v>
      </c>
    </row>
    <row r="13" spans="1:3" x14ac:dyDescent="0.3">
      <c r="A13" s="58">
        <v>631</v>
      </c>
      <c r="B13" t="s">
        <v>108</v>
      </c>
      <c r="C13" s="34">
        <f>SUMIF('Parte B. Contabilidad 20X1'!A6:A254,"="&amp;A13,'Parte B. Contabilidad 20X1'!C6:C254)-SUMIF('Parte B. Contabilidad 20X1'!A5:A248,"="&amp;'Parte B. Asiento reg.'!A13,'Parte B. Contabilidad 20X1'!D5:D248)</f>
        <v>25000</v>
      </c>
    </row>
    <row r="14" spans="1:3" x14ac:dyDescent="0.3">
      <c r="A14" s="58">
        <v>640</v>
      </c>
      <c r="B14" t="s">
        <v>109</v>
      </c>
      <c r="C14" s="34">
        <f>SUMIF('Parte B. Contabilidad 20X1'!A7:A255,"="&amp;A14,'Parte B. Contabilidad 20X1'!C7:C255)-SUMIF('Parte B. Contabilidad 20X1'!A6:A249,"="&amp;'Parte B. Asiento reg.'!A14,'Parte B. Contabilidad 20X1'!D6:D249)</f>
        <v>102000</v>
      </c>
    </row>
    <row r="15" spans="1:3" x14ac:dyDescent="0.3">
      <c r="A15" s="58">
        <v>642</v>
      </c>
      <c r="B15" t="s">
        <v>110</v>
      </c>
      <c r="C15" s="34">
        <f>SUMIF('Parte B. Contabilidad 20X1'!A8:A256,"="&amp;A15,'Parte B. Contabilidad 20X1'!C8:C256)-SUMIF('Parte B. Contabilidad 20X1'!A7:A250,"="&amp;'Parte B. Asiento reg.'!A15,'Parte B. Contabilidad 20X1'!D7:D250)</f>
        <v>30000</v>
      </c>
    </row>
    <row r="16" spans="1:3" x14ac:dyDescent="0.3">
      <c r="A16" s="58">
        <v>650</v>
      </c>
      <c r="B16" t="s">
        <v>50</v>
      </c>
      <c r="C16" s="34">
        <f>SUMIF('Parte B. Contabilidad 20X1'!A9:A257,"="&amp;A16,'Parte B. Contabilidad 20X1'!C9:C257)-SUMIF('Parte B. Contabilidad 20X1'!A8:A251,"="&amp;'Parte B. Asiento reg.'!A16,'Parte B. Contabilidad 20X1'!D8:D251)</f>
        <v>35000</v>
      </c>
    </row>
    <row r="17" spans="1:4" x14ac:dyDescent="0.3">
      <c r="A17" s="58">
        <v>662</v>
      </c>
      <c r="B17" t="s">
        <v>65</v>
      </c>
      <c r="C17" s="34">
        <f>SUMIF('Parte B. Contabilidad 20X1'!A10:A258,"="&amp;A17,'Parte B. Contabilidad 20X1'!C10:C258)-SUMIF('Parte B. Contabilidad 20X1'!A9:A252,"="&amp;'Parte B. Asiento reg.'!A17,'Parte B. Contabilidad 20X1'!D9:D252)</f>
        <v>10000</v>
      </c>
    </row>
    <row r="18" spans="1:4" x14ac:dyDescent="0.3">
      <c r="A18" s="58">
        <v>665</v>
      </c>
      <c r="B18" t="s">
        <v>56</v>
      </c>
      <c r="C18" s="34">
        <f>SUMIF('Parte B. Contabilidad 20X1'!A11:A259,"="&amp;A18,'Parte B. Contabilidad 20X1'!C11:C259)-SUMIF('Parte B. Contabilidad 20X1'!A10:A253,"="&amp;'Parte B. Asiento reg.'!A18,'Parte B. Contabilidad 20X1'!D10:D253)</f>
        <v>64.432500000000005</v>
      </c>
    </row>
    <row r="19" spans="1:4" x14ac:dyDescent="0.3">
      <c r="A19" s="58">
        <v>681</v>
      </c>
      <c r="B19" t="s">
        <v>16</v>
      </c>
      <c r="C19" s="34">
        <f>SUMIF('Parte B. Contabilidad 20X1'!A12:A260,"="&amp;A19,'Parte B. Contabilidad 20X1'!C12:C260)-SUMIF('Parte B. Contabilidad 20X1'!A11:A254,"="&amp;'Parte B. Asiento reg.'!A19,'Parte B. Contabilidad 20X1'!D11:D254)</f>
        <v>16000</v>
      </c>
    </row>
    <row r="20" spans="1:4" x14ac:dyDescent="0.3">
      <c r="A20" s="58">
        <v>693</v>
      </c>
      <c r="B20" t="s">
        <v>94</v>
      </c>
      <c r="C20" s="34">
        <f>SUMIF('Parte B. Contabilidad 20X1'!A13:A261,"="&amp;A20,'Parte B. Contabilidad 20X1'!C13:C261)-SUMIF('Parte B. Contabilidad 20X1'!A12:A255,"="&amp;'Parte B. Asiento reg.'!A20,'Parte B. Contabilidad 20X1'!D12:D255)</f>
        <v>1755</v>
      </c>
    </row>
    <row r="21" spans="1:4" x14ac:dyDescent="0.3">
      <c r="A21" s="57" t="s">
        <v>102</v>
      </c>
      <c r="B21" s="57"/>
      <c r="C21" s="34">
        <f>SUM(C8:C20)</f>
        <v>362079.4325</v>
      </c>
    </row>
    <row r="22" spans="1:4" x14ac:dyDescent="0.3">
      <c r="A22" s="57" t="s">
        <v>106</v>
      </c>
      <c r="B22" s="57"/>
      <c r="C22" s="34">
        <f>C6-C21</f>
        <v>1683020.5674999999</v>
      </c>
    </row>
    <row r="25" spans="1:4" x14ac:dyDescent="0.3">
      <c r="A25" s="42" t="s">
        <v>0</v>
      </c>
      <c r="B25" s="41" t="s">
        <v>1</v>
      </c>
      <c r="C25" s="4" t="s">
        <v>2</v>
      </c>
      <c r="D25" s="4" t="s">
        <v>3</v>
      </c>
    </row>
    <row r="26" spans="1:4" x14ac:dyDescent="0.3">
      <c r="A26" s="20">
        <v>700</v>
      </c>
      <c r="B26" s="34" t="s">
        <v>27</v>
      </c>
      <c r="C26" s="34">
        <f>SUMIF('Parte B. Contabilidad 20X1'!A24:A267,"="&amp;A26,'Parte B. Contabilidad 20X1'!D24:D267)</f>
        <v>2007100</v>
      </c>
      <c r="D26" s="34"/>
    </row>
    <row r="27" spans="1:4" x14ac:dyDescent="0.3">
      <c r="A27" s="20">
        <v>769</v>
      </c>
      <c r="B27" s="34" t="s">
        <v>59</v>
      </c>
      <c r="C27" s="34">
        <f>SUMIF('Parte B. Contabilidad 20X1'!A25:A268,"="&amp;A27,'Parte B. Contabilidad 20X1'!D25:D268)</f>
        <v>1000</v>
      </c>
      <c r="D27" s="34"/>
    </row>
    <row r="28" spans="1:4" x14ac:dyDescent="0.3">
      <c r="A28" s="20">
        <v>771</v>
      </c>
      <c r="B28" s="34" t="s">
        <v>104</v>
      </c>
      <c r="C28" s="34">
        <f>SUMIF('Parte B. Contabilidad 20X1'!A26:A269,"="&amp;A28,'Parte B. Contabilidad 20X1'!D26:D269)</f>
        <v>37000</v>
      </c>
      <c r="D28" s="34"/>
    </row>
    <row r="29" spans="1:4" x14ac:dyDescent="0.3">
      <c r="A29" s="58">
        <v>610</v>
      </c>
      <c r="B29" s="34" t="s">
        <v>107</v>
      </c>
      <c r="C29" s="34">
        <f>SUMIF('Parte B. Contabilidad 20X1'!A22:A270,"="&amp;A29,'Parte B. Contabilidad 20X1'!C22:C270)-SUMIF('Parte B. Contabilidad 20X1'!A21:A264,"="&amp;'Parte B. Asiento reg.'!A29,'Parte B. Contabilidad 20X1'!D21:D264)</f>
        <v>-4570</v>
      </c>
      <c r="D29" s="34"/>
    </row>
    <row r="30" spans="1:4" x14ac:dyDescent="0.3">
      <c r="A30" s="58">
        <v>623</v>
      </c>
      <c r="B30" s="34" t="s">
        <v>63</v>
      </c>
      <c r="C30" s="34"/>
      <c r="D30" s="34">
        <f>SUMIF('Parte B. Contabilidad 20X1'!A23:A271,"="&amp;A30,'Parte B. Contabilidad 20X1'!C23:C271)-SUMIF('Parte B. Contabilidad 20X1'!A22:A265,"="&amp;'Parte B. Asiento reg.'!A30,'Parte B. Contabilidad 20X1'!D22:D265)</f>
        <v>6000</v>
      </c>
    </row>
    <row r="31" spans="1:4" x14ac:dyDescent="0.3">
      <c r="A31" s="58">
        <v>626</v>
      </c>
      <c r="B31" s="34" t="s">
        <v>58</v>
      </c>
      <c r="C31" s="34"/>
      <c r="D31" s="34">
        <f>SUMIF('Parte B. Contabilidad 20X1'!A24:A272,"="&amp;A31,'Parte B. Contabilidad 20X1'!C24:C272)-SUMIF('Parte B. Contabilidad 20X1'!A23:A266,"="&amp;'Parte B. Asiento reg.'!A31,'Parte B. Contabilidad 20X1'!D23:D266)</f>
        <v>280</v>
      </c>
    </row>
    <row r="32" spans="1:4" x14ac:dyDescent="0.3">
      <c r="A32" s="58">
        <v>628</v>
      </c>
      <c r="B32" s="34" t="s">
        <v>51</v>
      </c>
      <c r="C32" s="34"/>
      <c r="D32" s="34">
        <f>SUMIF('Parte B. Contabilidad 20X1'!A25:A273,"="&amp;A32,'Parte B. Contabilidad 20X1'!C25:C273)-SUMIF('Parte B. Contabilidad 20X1'!A24:A267,"="&amp;'Parte B. Asiento reg.'!A32,'Parte B. Contabilidad 20X1'!D24:D267)</f>
        <v>700</v>
      </c>
    </row>
    <row r="33" spans="1:4" x14ac:dyDescent="0.3">
      <c r="A33" s="58">
        <v>631</v>
      </c>
      <c r="B33" s="34" t="s">
        <v>108</v>
      </c>
      <c r="C33" s="34"/>
      <c r="D33" s="34">
        <f>SUMIF('Parte B. Contabilidad 20X1'!A26:A274,"="&amp;A33,'Parte B. Contabilidad 20X1'!C26:C274)-SUMIF('Parte B. Contabilidad 20X1'!A25:A268,"="&amp;'Parte B. Asiento reg.'!A33,'Parte B. Contabilidad 20X1'!D25:D268)</f>
        <v>25000</v>
      </c>
    </row>
    <row r="34" spans="1:4" x14ac:dyDescent="0.3">
      <c r="A34" s="58">
        <v>640</v>
      </c>
      <c r="B34" s="34" t="s">
        <v>109</v>
      </c>
      <c r="C34" s="34"/>
      <c r="D34" s="34">
        <f>SUMIF('Parte B. Contabilidad 20X1'!A27:A275,"="&amp;A34,'Parte B. Contabilidad 20X1'!C27:C275)-SUMIF('Parte B. Contabilidad 20X1'!A26:A269,"="&amp;'Parte B. Asiento reg.'!A34,'Parte B. Contabilidad 20X1'!D26:D269)</f>
        <v>102000</v>
      </c>
    </row>
    <row r="35" spans="1:4" x14ac:dyDescent="0.3">
      <c r="A35" s="58">
        <v>642</v>
      </c>
      <c r="B35" s="34" t="s">
        <v>110</v>
      </c>
      <c r="C35" s="34"/>
      <c r="D35" s="34">
        <f>SUMIF('Parte B. Contabilidad 20X1'!A28:A276,"="&amp;A35,'Parte B. Contabilidad 20X1'!C28:C276)-SUMIF('Parte B. Contabilidad 20X1'!A27:A270,"="&amp;'Parte B. Asiento reg.'!A35,'Parte B. Contabilidad 20X1'!D27:D270)</f>
        <v>30000</v>
      </c>
    </row>
    <row r="36" spans="1:4" x14ac:dyDescent="0.3">
      <c r="A36" s="58">
        <v>650</v>
      </c>
      <c r="B36" s="34" t="s">
        <v>50</v>
      </c>
      <c r="C36" s="34"/>
      <c r="D36" s="34">
        <f>SUMIF('Parte B. Contabilidad 20X1'!A29:A277,"="&amp;A36,'Parte B. Contabilidad 20X1'!C29:C277)-SUMIF('Parte B. Contabilidad 20X1'!A28:A271,"="&amp;'Parte B. Asiento reg.'!A36,'Parte B. Contabilidad 20X1'!D28:D271)</f>
        <v>35000</v>
      </c>
    </row>
    <row r="37" spans="1:4" x14ac:dyDescent="0.3">
      <c r="A37" s="58">
        <v>662</v>
      </c>
      <c r="B37" s="34" t="s">
        <v>65</v>
      </c>
      <c r="C37" s="34"/>
      <c r="D37" s="34">
        <f>SUMIF('Parte B. Contabilidad 20X1'!A30:A278,"="&amp;A37,'Parte B. Contabilidad 20X1'!C30:C278)-SUMIF('Parte B. Contabilidad 20X1'!A29:A272,"="&amp;'Parte B. Asiento reg.'!A37,'Parte B. Contabilidad 20X1'!D29:D272)</f>
        <v>10000</v>
      </c>
    </row>
    <row r="38" spans="1:4" x14ac:dyDescent="0.3">
      <c r="A38" s="58">
        <v>665</v>
      </c>
      <c r="B38" s="34" t="s">
        <v>56</v>
      </c>
      <c r="C38" s="34"/>
      <c r="D38" s="34">
        <f>SUMIF('Parte B. Contabilidad 20X1'!A31:A279,"="&amp;A38,'Parte B. Contabilidad 20X1'!C31:C279)-SUMIF('Parte B. Contabilidad 20X1'!A30:A273,"="&amp;'Parte B. Asiento reg.'!A38,'Parte B. Contabilidad 20X1'!D30:D273)</f>
        <v>64.432500000000005</v>
      </c>
    </row>
    <row r="39" spans="1:4" x14ac:dyDescent="0.3">
      <c r="A39" s="58">
        <v>681</v>
      </c>
      <c r="B39" s="34" t="s">
        <v>16</v>
      </c>
      <c r="C39" s="34"/>
      <c r="D39" s="34">
        <f>SUMIF('Parte B. Contabilidad 20X1'!A32:A280,"="&amp;A39,'Parte B. Contabilidad 20X1'!C32:C280)-SUMIF('Parte B. Contabilidad 20X1'!A31:A274,"="&amp;'Parte B. Asiento reg.'!A39,'Parte B. Contabilidad 20X1'!D31:D274)</f>
        <v>16000</v>
      </c>
    </row>
    <row r="40" spans="1:4" x14ac:dyDescent="0.3">
      <c r="A40" s="58">
        <v>693</v>
      </c>
      <c r="B40" s="34" t="s">
        <v>94</v>
      </c>
      <c r="C40" s="34"/>
      <c r="D40" s="34">
        <f>SUMIF('Parte B. Contabilidad 20X1'!A33:A281,"="&amp;A40,'Parte B. Contabilidad 20X1'!C33:C281)-SUMIF('Parte B. Contabilidad 20X1'!A32:A275,"="&amp;'Parte B. Asiento reg.'!A40,'Parte B. Contabilidad 20X1'!D32:D275)</f>
        <v>1755</v>
      </c>
    </row>
    <row r="41" spans="1:4" x14ac:dyDescent="0.3">
      <c r="A41" s="20">
        <v>129</v>
      </c>
      <c r="B41" s="59" t="s">
        <v>111</v>
      </c>
      <c r="C41" s="34"/>
      <c r="D41" s="34">
        <f>C22</f>
        <v>1683020.5674999999</v>
      </c>
    </row>
  </sheetData>
  <mergeCells count="5">
    <mergeCell ref="A2:C2"/>
    <mergeCell ref="A6:B6"/>
    <mergeCell ref="A7:C7"/>
    <mergeCell ref="A21:B21"/>
    <mergeCell ref="A22:B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SUPUESTO A.1</vt:lpstr>
      <vt:lpstr>SUPUESTO A.2</vt:lpstr>
      <vt:lpstr>SUPUESTO A.3</vt:lpstr>
      <vt:lpstr>SUPUESTO A.4</vt:lpstr>
      <vt:lpstr>SUPUESTO A.5</vt:lpstr>
      <vt:lpstr>Parte B. Asiento de apertura</vt:lpstr>
      <vt:lpstr>Parte B. Contabilidad 20X1</vt:lpstr>
      <vt:lpstr>Parte B. Asiento reg.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XYZ</dc:creator>
  <cp:lastModifiedBy>XYZ</cp:lastModifiedBy>
  <dcterms:created xsi:type="dcterms:W3CDTF">2015-06-05T18:17:20Z</dcterms:created>
  <dcterms:modified xsi:type="dcterms:W3CDTF">2021-01-10T22:07:59Z</dcterms:modified>
</cp:coreProperties>
</file>