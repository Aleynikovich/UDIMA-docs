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KADisk\UDIMA\Contabilidad\AEC2\"/>
    </mc:Choice>
  </mc:AlternateContent>
  <xr:revisionPtr revIDLastSave="0" documentId="13_ncr:1_{D6A0A70D-554D-4D89-80AF-5A2F8DF4F0DB}" xr6:coauthVersionLast="45" xr6:coauthVersionMax="45" xr10:uidLastSave="{00000000-0000-0000-0000-000000000000}"/>
  <bookViews>
    <workbookView xWindow="20616" yWindow="456" windowWidth="20664" windowHeight="16824" activeTab="3" xr2:uid="{8E4B31F4-5CDB-4A7F-868E-3A6637514524}"/>
    <workbookView xWindow="0" yWindow="456" windowWidth="20640" windowHeight="16824" activeTab="3" xr2:uid="{D273C0A2-0BEC-4A76-AF8D-CB54D0D822A6}"/>
  </bookViews>
  <sheets>
    <sheet name="1 Enero" sheetId="1" r:id="rId1"/>
    <sheet name="Asiento de apertura" sheetId="2" r:id="rId2"/>
    <sheet name="Registros contables" sheetId="3" r:id="rId3"/>
    <sheet name="SumasSaldos" sheetId="5" r:id="rId4"/>
    <sheet name="Regularizaci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5" l="1"/>
  <c r="F28" i="5" s="1"/>
  <c r="E28" i="5"/>
  <c r="E24" i="5"/>
  <c r="F23" i="5"/>
  <c r="E20" i="5"/>
  <c r="E21" i="5"/>
  <c r="E22" i="5"/>
  <c r="E19" i="5"/>
  <c r="E18" i="5"/>
  <c r="F17" i="5"/>
  <c r="F16" i="5"/>
  <c r="E15" i="5"/>
  <c r="F14" i="5"/>
  <c r="E13" i="5"/>
  <c r="E12" i="5"/>
  <c r="E11" i="5"/>
  <c r="E9" i="5"/>
  <c r="F8" i="5"/>
  <c r="F7" i="5"/>
  <c r="E6" i="5"/>
  <c r="E5" i="5"/>
  <c r="E4" i="5"/>
  <c r="F3" i="5"/>
  <c r="D18" i="5"/>
  <c r="D28" i="5" s="1"/>
  <c r="C25" i="5"/>
  <c r="D25" i="5"/>
  <c r="C18" i="5"/>
  <c r="D6" i="5"/>
  <c r="C24" i="5"/>
  <c r="D23" i="5"/>
  <c r="C4" i="5"/>
  <c r="D10" i="5"/>
  <c r="C12" i="5"/>
  <c r="D3" i="5"/>
  <c r="C11" i="5"/>
  <c r="D17" i="5"/>
  <c r="C22" i="5"/>
  <c r="D16" i="5"/>
  <c r="C15" i="5"/>
  <c r="D14" i="5"/>
  <c r="C13" i="5"/>
  <c r="C9" i="5"/>
  <c r="D8" i="5"/>
  <c r="C3" i="5"/>
  <c r="C10" i="5"/>
  <c r="C21" i="5"/>
  <c r="C20" i="5"/>
  <c r="C19" i="5"/>
  <c r="D7" i="5"/>
  <c r="C6" i="5"/>
  <c r="D5" i="5"/>
  <c r="D17" i="2"/>
  <c r="C17" i="2"/>
  <c r="C28" i="5" l="1"/>
  <c r="D5" i="4"/>
  <c r="C4" i="4" s="1"/>
  <c r="D5" i="3"/>
  <c r="D6" i="3" s="1"/>
  <c r="D10" i="1"/>
  <c r="B10" i="1"/>
</calcChain>
</file>

<file path=xl/sharedStrings.xml><?xml version="1.0" encoding="utf-8"?>
<sst xmlns="http://schemas.openxmlformats.org/spreadsheetml/2006/main" count="218" uniqueCount="69">
  <si>
    <t>Activo</t>
  </si>
  <si>
    <t>Terrenos y bienes naturales</t>
  </si>
  <si>
    <t>Construcciones</t>
  </si>
  <si>
    <t>Maquinaria</t>
  </si>
  <si>
    <t>Mobiliario</t>
  </si>
  <si>
    <t>Clientes</t>
  </si>
  <si>
    <t>Mercaderías</t>
  </si>
  <si>
    <t>Tesorería</t>
  </si>
  <si>
    <t>TOTAL</t>
  </si>
  <si>
    <t>Patrimonio neto y pasivo</t>
  </si>
  <si>
    <t>Capital</t>
  </si>
  <si>
    <t>Reservas</t>
  </si>
  <si>
    <t>Deudas a Largo plazo</t>
  </si>
  <si>
    <t>Deudas a Corto plazo</t>
  </si>
  <si>
    <t>Proveedores</t>
  </si>
  <si>
    <t>Hacienda Pública, etc</t>
  </si>
  <si>
    <t>Código</t>
  </si>
  <si>
    <t>Cuenta</t>
  </si>
  <si>
    <t>Debe</t>
  </si>
  <si>
    <t>Haber</t>
  </si>
  <si>
    <t>PUNTO A: ASIENTO DE APERTURA</t>
  </si>
  <si>
    <t>PUNTO B: Registro de las operaciones del ejercicio</t>
  </si>
  <si>
    <t>Compra de mercaderías por importe de 25.000 euros, dejando pendiente de pago el 30 por ciento.</t>
  </si>
  <si>
    <t>Proveedores, efectos comerciales a pagar</t>
  </si>
  <si>
    <t>Cancela la deuda con proveedores por importe de 20.000 euros.</t>
  </si>
  <si>
    <t>Venta de mercaderías por importe de 100.000 euros, quedando pendiente de cobro la tercera parte.</t>
  </si>
  <si>
    <t>Venta de mercaderías</t>
  </si>
  <si>
    <t>Cobra en efectivo de sus clientes 15.000 euros</t>
  </si>
  <si>
    <t>Paga en efectivo la nómina de sus empleados que asciende a 36.000 euros.</t>
  </si>
  <si>
    <t>Sueldos y salarios</t>
  </si>
  <si>
    <t>Paga a través de la cuenta corriente bancaria los gastos de electricidad, teléfono y agua que ascienden a 2.100 euros.</t>
  </si>
  <si>
    <t>Suministros</t>
  </si>
  <si>
    <t>Se devengan 2.050 euros de intereses de la deuda que aparece en el balance y que son pagados por la empresa.</t>
  </si>
  <si>
    <t>Intereses a corto plazo de deudas</t>
  </si>
  <si>
    <t>Deudas a corto plazo</t>
  </si>
  <si>
    <t>Se paga la totalidad de la deuda a corto plazo.</t>
  </si>
  <si>
    <t>La cuenta bancaria genera unos intereses de 100 euros</t>
  </si>
  <si>
    <t>Otros ingresos financieros</t>
  </si>
  <si>
    <t>Compra acciones al contado cuyo coste asciende a 1.100 euros.</t>
  </si>
  <si>
    <t>Inversiones financieras a largo plazo en instrumentos de patrimonio</t>
  </si>
  <si>
    <t>El 31 de diciembre 20.000 euros de deuda a largo plazo se transforma a corto plazo.</t>
  </si>
  <si>
    <t>Deudas a largo plazo</t>
  </si>
  <si>
    <t>La amortización anual de la maquinaria asciende de 700 euros.</t>
  </si>
  <si>
    <t>Amortizacion de inmovilizado material</t>
  </si>
  <si>
    <t>Amortización acumulada del inmovilizado material</t>
  </si>
  <si>
    <t>Contabilizó como gasto el 1 de diciembre de 20X9 el pago de 1500 euros de una  campaña publicitaria cuyo desarrollo tendrá lugar durante los meses de diciembre, enero y febrero.</t>
  </si>
  <si>
    <t>Otros servicios</t>
  </si>
  <si>
    <t>Acreedores por prestaciones de servicios</t>
  </si>
  <si>
    <t>Cobró el 1 de diciembre, 12.000 euros correspondientes al alquiler de un año, del 1 de diciembre de 20X9 al 1 de diciembre de 2020, de un local comercial que tiene arrendado. Este importe lo contabilizó como un ingreso en dicho momento.</t>
  </si>
  <si>
    <t>Ingresos por arrendamientos</t>
  </si>
  <si>
    <t>Una compra de mercaderías por valor de 520 euros aún no está registrada porque no ha
llegado la factura correspondiente.</t>
  </si>
  <si>
    <t>Compra de mercaderías</t>
  </si>
  <si>
    <t>Proveedores, facturas pendientes de recibir o formalizar</t>
  </si>
  <si>
    <t>Está pendiente de contabilizar una venta a crédito a un cliente por importe de 3.000 euros dado que aún no se conoce el NIF del mismo ni su domicilio y se está a la espera de que reciba un fax con dicha información.</t>
  </si>
  <si>
    <t>Clientes, facturas pendientes de recibir o formalizar</t>
  </si>
  <si>
    <t>El valor de las existencias finales según recuento físico asciende a 4.000 euros</t>
  </si>
  <si>
    <t>Variación de existencias de mercaderías</t>
  </si>
  <si>
    <t>Resultado del ejercicio</t>
  </si>
  <si>
    <t>El tipo impositivo del Impuesto de Sociedades es del 25 por ciento del beneficio antes de impuestos.</t>
  </si>
  <si>
    <t>Hacienda pública</t>
  </si>
  <si>
    <t>Impuesto sobre beneficios</t>
  </si>
  <si>
    <t>REGULARIZACION</t>
  </si>
  <si>
    <t>Tesoreria</t>
  </si>
  <si>
    <t>Sumas</t>
  </si>
  <si>
    <t>Saldo</t>
  </si>
  <si>
    <t>Deudor</t>
  </si>
  <si>
    <t>Acreedor</t>
  </si>
  <si>
    <t>TOTALES</t>
  </si>
  <si>
    <t>Deudores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</si>
</sst>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_);\(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3" xfId="0" applyNumberFormat="1" applyBorder="1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0" borderId="3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/>
    <xf numFmtId="43" fontId="0" fillId="0" borderId="1" xfId="0" applyNumberForma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Fill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0" fillId="0" borderId="1" xfId="0" quotePrefix="1" applyNumberForma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7A8E-6D06-4318-8D23-ABF71D95230D}">
  <dimension ref="A2:D10"/>
  <sheetViews>
    <sheetView workbookViewId="0"/>
    <sheetView workbookViewId="1"/>
  </sheetViews>
  <sheetFormatPr defaultRowHeight="14.4" x14ac:dyDescent="0.3"/>
  <cols>
    <col min="1" max="1" width="26.21875" customWidth="1"/>
    <col min="2" max="2" width="13.77734375" customWidth="1"/>
    <col min="3" max="3" width="18.44140625" customWidth="1"/>
    <col min="4" max="4" width="14.109375" customWidth="1"/>
  </cols>
  <sheetData>
    <row r="2" spans="1:4" x14ac:dyDescent="0.3">
      <c r="A2" s="24" t="s">
        <v>0</v>
      </c>
      <c r="B2" s="24"/>
      <c r="C2" s="24" t="s">
        <v>9</v>
      </c>
      <c r="D2" s="24"/>
    </row>
    <row r="3" spans="1:4" x14ac:dyDescent="0.3">
      <c r="A3" s="1" t="s">
        <v>1</v>
      </c>
      <c r="B3" s="3">
        <v>183700</v>
      </c>
      <c r="C3" s="1" t="s">
        <v>10</v>
      </c>
      <c r="D3" s="3">
        <v>251000</v>
      </c>
    </row>
    <row r="4" spans="1:4" x14ac:dyDescent="0.3">
      <c r="A4" s="1" t="s">
        <v>2</v>
      </c>
      <c r="B4" s="3">
        <v>150000</v>
      </c>
      <c r="C4" s="1" t="s">
        <v>11</v>
      </c>
      <c r="D4" s="3">
        <v>40000</v>
      </c>
    </row>
    <row r="5" spans="1:4" x14ac:dyDescent="0.3">
      <c r="A5" s="1" t="s">
        <v>3</v>
      </c>
      <c r="B5" s="3">
        <v>7000</v>
      </c>
      <c r="C5" s="1" t="s">
        <v>12</v>
      </c>
      <c r="D5" s="3">
        <v>129200</v>
      </c>
    </row>
    <row r="6" spans="1:4" x14ac:dyDescent="0.3">
      <c r="A6" s="1" t="s">
        <v>4</v>
      </c>
      <c r="B6" s="3">
        <v>10000</v>
      </c>
      <c r="C6" s="1" t="s">
        <v>13</v>
      </c>
      <c r="D6" s="3">
        <v>20000</v>
      </c>
    </row>
    <row r="7" spans="1:4" x14ac:dyDescent="0.3">
      <c r="A7" s="1" t="s">
        <v>5</v>
      </c>
      <c r="B7" s="3">
        <v>20300</v>
      </c>
      <c r="C7" s="1" t="s">
        <v>14</v>
      </c>
      <c r="D7" s="3">
        <v>20500</v>
      </c>
    </row>
    <row r="8" spans="1:4" x14ac:dyDescent="0.3">
      <c r="A8" s="1" t="s">
        <v>6</v>
      </c>
      <c r="B8" s="3">
        <v>11000</v>
      </c>
      <c r="C8" s="1" t="s">
        <v>15</v>
      </c>
      <c r="D8" s="3">
        <v>1300</v>
      </c>
    </row>
    <row r="9" spans="1:4" x14ac:dyDescent="0.3">
      <c r="A9" s="1" t="s">
        <v>7</v>
      </c>
      <c r="B9" s="3">
        <v>80000</v>
      </c>
      <c r="C9" s="1"/>
      <c r="D9" s="3"/>
    </row>
    <row r="10" spans="1:4" x14ac:dyDescent="0.3">
      <c r="A10" s="2" t="s">
        <v>8</v>
      </c>
      <c r="B10" s="4">
        <f>SUM(B3:B9)</f>
        <v>462000</v>
      </c>
      <c r="C10" s="2" t="s">
        <v>8</v>
      </c>
      <c r="D10" s="4">
        <f>SUM(D3:D9)</f>
        <v>462000</v>
      </c>
    </row>
  </sheetData>
  <mergeCells count="2">
    <mergeCell ref="A2:B2"/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5134-B497-4BDF-AC82-8C448C2D6468}">
  <dimension ref="A1:D17"/>
  <sheetViews>
    <sheetView workbookViewId="0">
      <selection sqref="A1:D1"/>
    </sheetView>
    <sheetView workbookViewId="1">
      <selection sqref="A1:D1"/>
    </sheetView>
  </sheetViews>
  <sheetFormatPr defaultRowHeight="14.4" x14ac:dyDescent="0.3"/>
  <cols>
    <col min="1" max="1" width="13.77734375" customWidth="1"/>
    <col min="2" max="2" width="29.21875" customWidth="1"/>
    <col min="3" max="3" width="17.6640625" customWidth="1"/>
    <col min="4" max="4" width="13.109375" customWidth="1"/>
  </cols>
  <sheetData>
    <row r="1" spans="1:4" x14ac:dyDescent="0.3">
      <c r="A1" s="25" t="s">
        <v>20</v>
      </c>
      <c r="B1" s="25"/>
      <c r="C1" s="25"/>
      <c r="D1" s="25"/>
    </row>
    <row r="3" spans="1:4" x14ac:dyDescent="0.3">
      <c r="A3" s="7" t="s">
        <v>16</v>
      </c>
      <c r="B3" s="7" t="s">
        <v>17</v>
      </c>
      <c r="C3" s="7" t="s">
        <v>18</v>
      </c>
      <c r="D3" s="7" t="s">
        <v>19</v>
      </c>
    </row>
    <row r="4" spans="1:4" x14ac:dyDescent="0.3">
      <c r="A4" s="5">
        <v>210</v>
      </c>
      <c r="B4" s="5" t="s">
        <v>1</v>
      </c>
      <c r="C4" s="6">
        <v>183700</v>
      </c>
      <c r="D4" s="6"/>
    </row>
    <row r="5" spans="1:4" x14ac:dyDescent="0.3">
      <c r="A5" s="5">
        <v>211</v>
      </c>
      <c r="B5" s="5" t="s">
        <v>2</v>
      </c>
      <c r="C5" s="6">
        <v>150000</v>
      </c>
      <c r="D5" s="6"/>
    </row>
    <row r="6" spans="1:4" x14ac:dyDescent="0.3">
      <c r="A6" s="5">
        <v>213</v>
      </c>
      <c r="B6" s="5" t="s">
        <v>3</v>
      </c>
      <c r="C6" s="6">
        <v>7000</v>
      </c>
      <c r="D6" s="6"/>
    </row>
    <row r="7" spans="1:4" x14ac:dyDescent="0.3">
      <c r="A7" s="5">
        <v>216</v>
      </c>
      <c r="B7" s="5" t="s">
        <v>4</v>
      </c>
      <c r="C7" s="6">
        <v>10000</v>
      </c>
      <c r="D7" s="6"/>
    </row>
    <row r="8" spans="1:4" x14ac:dyDescent="0.3">
      <c r="A8" s="5">
        <v>430</v>
      </c>
      <c r="B8" s="5" t="s">
        <v>5</v>
      </c>
      <c r="C8" s="6">
        <v>20300</v>
      </c>
      <c r="D8" s="6"/>
    </row>
    <row r="9" spans="1:4" x14ac:dyDescent="0.3">
      <c r="A9" s="5">
        <v>300</v>
      </c>
      <c r="B9" s="5" t="s">
        <v>6</v>
      </c>
      <c r="C9" s="6">
        <v>11000</v>
      </c>
      <c r="D9" s="6"/>
    </row>
    <row r="10" spans="1:4" x14ac:dyDescent="0.3">
      <c r="A10" s="5">
        <v>57</v>
      </c>
      <c r="B10" s="5" t="s">
        <v>7</v>
      </c>
      <c r="C10" s="6">
        <v>80000</v>
      </c>
      <c r="D10" s="6"/>
    </row>
    <row r="11" spans="1:4" x14ac:dyDescent="0.3">
      <c r="A11" s="5">
        <v>100</v>
      </c>
      <c r="B11" s="5" t="s">
        <v>10</v>
      </c>
      <c r="C11" s="6"/>
      <c r="D11" s="6">
        <v>251000</v>
      </c>
    </row>
    <row r="12" spans="1:4" x14ac:dyDescent="0.3">
      <c r="A12" s="5">
        <v>112</v>
      </c>
      <c r="B12" s="5" t="s">
        <v>11</v>
      </c>
      <c r="C12" s="6"/>
      <c r="D12" s="6">
        <v>40000</v>
      </c>
    </row>
    <row r="13" spans="1:4" x14ac:dyDescent="0.3">
      <c r="A13" s="5">
        <v>170</v>
      </c>
      <c r="B13" s="5" t="s">
        <v>12</v>
      </c>
      <c r="C13" s="6"/>
      <c r="D13" s="6">
        <v>129200</v>
      </c>
    </row>
    <row r="14" spans="1:4" x14ac:dyDescent="0.3">
      <c r="A14" s="5">
        <v>520</v>
      </c>
      <c r="B14" s="5" t="s">
        <v>13</v>
      </c>
      <c r="C14" s="6"/>
      <c r="D14" s="6">
        <v>20000</v>
      </c>
    </row>
    <row r="15" spans="1:4" x14ac:dyDescent="0.3">
      <c r="A15" s="5">
        <v>400</v>
      </c>
      <c r="B15" s="5" t="s">
        <v>14</v>
      </c>
      <c r="C15" s="6"/>
      <c r="D15" s="6">
        <v>20500</v>
      </c>
    </row>
    <row r="16" spans="1:4" x14ac:dyDescent="0.3">
      <c r="A16" s="8">
        <v>470</v>
      </c>
      <c r="B16" s="8" t="s">
        <v>15</v>
      </c>
      <c r="C16" s="9"/>
      <c r="D16" s="9">
        <v>1300</v>
      </c>
    </row>
    <row r="17" spans="1:4" x14ac:dyDescent="0.3">
      <c r="A17" t="s">
        <v>67</v>
      </c>
      <c r="C17" s="32">
        <f>SUM(C4:C16)</f>
        <v>462000</v>
      </c>
      <c r="D17" s="32">
        <f>SUM(D11:D16)</f>
        <v>462000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1850-6D49-47F3-84DB-B9E3CD00E44C}">
  <dimension ref="A1:D96"/>
  <sheetViews>
    <sheetView workbookViewId="0">
      <selection sqref="A1:D1"/>
    </sheetView>
    <sheetView topLeftCell="A76" zoomScale="145" zoomScaleNormal="145" workbookViewId="1">
      <selection activeCell="B93" sqref="B93:D93"/>
    </sheetView>
  </sheetViews>
  <sheetFormatPr defaultRowHeight="14.4" x14ac:dyDescent="0.3"/>
  <cols>
    <col min="1" max="1" width="10.6640625" style="14" customWidth="1"/>
    <col min="2" max="2" width="72.88671875" style="11" customWidth="1"/>
    <col min="3" max="3" width="13.6640625" style="11" customWidth="1"/>
    <col min="4" max="4" width="13.88671875" style="11" customWidth="1"/>
    <col min="5" max="16384" width="8.88671875" style="11"/>
  </cols>
  <sheetData>
    <row r="1" spans="1:4" x14ac:dyDescent="0.3">
      <c r="A1" s="28" t="s">
        <v>21</v>
      </c>
      <c r="B1" s="28"/>
      <c r="C1" s="28"/>
      <c r="D1" s="28"/>
    </row>
    <row r="2" spans="1:4" ht="24.6" customHeight="1" x14ac:dyDescent="0.3">
      <c r="A2" s="14">
        <v>1</v>
      </c>
      <c r="B2" s="30" t="s">
        <v>22</v>
      </c>
      <c r="C2" s="30"/>
      <c r="D2" s="30"/>
    </row>
    <row r="3" spans="1:4" x14ac:dyDescent="0.3">
      <c r="A3" s="15" t="s">
        <v>16</v>
      </c>
      <c r="B3" s="12" t="s">
        <v>17</v>
      </c>
      <c r="C3" s="12" t="s">
        <v>18</v>
      </c>
      <c r="D3" s="12" t="s">
        <v>19</v>
      </c>
    </row>
    <row r="4" spans="1:4" x14ac:dyDescent="0.3">
      <c r="A4" s="16">
        <v>600</v>
      </c>
      <c r="B4" s="11" t="s">
        <v>51</v>
      </c>
      <c r="C4" s="11">
        <v>25000</v>
      </c>
    </row>
    <row r="5" spans="1:4" x14ac:dyDescent="0.3">
      <c r="A5" s="14">
        <v>401</v>
      </c>
      <c r="B5" s="11" t="s">
        <v>23</v>
      </c>
      <c r="D5" s="11">
        <f>C4*30%</f>
        <v>7500</v>
      </c>
    </row>
    <row r="6" spans="1:4" x14ac:dyDescent="0.3">
      <c r="A6" s="17">
        <v>57</v>
      </c>
      <c r="B6" s="9" t="s">
        <v>7</v>
      </c>
      <c r="C6" s="9"/>
      <c r="D6" s="9">
        <f>C4-D5</f>
        <v>17500</v>
      </c>
    </row>
    <row r="7" spans="1:4" x14ac:dyDescent="0.3">
      <c r="A7" s="16"/>
      <c r="B7" s="6"/>
      <c r="C7" s="6"/>
      <c r="D7" s="6"/>
    </row>
    <row r="8" spans="1:4" ht="22.2" customHeight="1" x14ac:dyDescent="0.3">
      <c r="A8" s="16">
        <v>2</v>
      </c>
      <c r="B8" s="31" t="s">
        <v>24</v>
      </c>
      <c r="C8" s="31"/>
      <c r="D8" s="31"/>
    </row>
    <row r="9" spans="1:4" x14ac:dyDescent="0.3">
      <c r="A9" s="15" t="s">
        <v>16</v>
      </c>
      <c r="B9" s="12" t="s">
        <v>17</v>
      </c>
      <c r="C9" s="12" t="s">
        <v>18</v>
      </c>
      <c r="D9" s="12" t="s">
        <v>19</v>
      </c>
    </row>
    <row r="10" spans="1:4" x14ac:dyDescent="0.3">
      <c r="A10" s="14">
        <v>400</v>
      </c>
      <c r="B10" s="6" t="s">
        <v>14</v>
      </c>
      <c r="C10" s="6">
        <v>20000</v>
      </c>
      <c r="D10" s="6"/>
    </row>
    <row r="11" spans="1:4" x14ac:dyDescent="0.3">
      <c r="A11" s="17">
        <v>57</v>
      </c>
      <c r="B11" s="9" t="s">
        <v>7</v>
      </c>
      <c r="C11" s="9"/>
      <c r="D11" s="9">
        <v>20000</v>
      </c>
    </row>
    <row r="12" spans="1:4" x14ac:dyDescent="0.3">
      <c r="A12" s="16"/>
      <c r="B12" s="6"/>
      <c r="C12" s="6"/>
      <c r="D12" s="6"/>
    </row>
    <row r="13" spans="1:4" ht="22.2" customHeight="1" x14ac:dyDescent="0.3">
      <c r="A13" s="16">
        <v>3</v>
      </c>
      <c r="B13" s="28" t="s">
        <v>25</v>
      </c>
      <c r="C13" s="28"/>
      <c r="D13" s="28"/>
    </row>
    <row r="14" spans="1:4" x14ac:dyDescent="0.3">
      <c r="A14" s="15" t="s">
        <v>16</v>
      </c>
      <c r="B14" s="12" t="s">
        <v>17</v>
      </c>
      <c r="C14" s="12" t="s">
        <v>18</v>
      </c>
      <c r="D14" s="12" t="s">
        <v>19</v>
      </c>
    </row>
    <row r="15" spans="1:4" x14ac:dyDescent="0.3">
      <c r="A15" s="16">
        <v>57</v>
      </c>
      <c r="B15" s="6" t="s">
        <v>7</v>
      </c>
      <c r="C15" s="6">
        <v>75000</v>
      </c>
      <c r="D15" s="6"/>
    </row>
    <row r="16" spans="1:4" x14ac:dyDescent="0.3">
      <c r="A16" s="14">
        <v>430</v>
      </c>
      <c r="B16" s="11" t="s">
        <v>5</v>
      </c>
      <c r="C16" s="11">
        <v>25000</v>
      </c>
    </row>
    <row r="17" spans="1:4" x14ac:dyDescent="0.3">
      <c r="A17" s="17">
        <v>700</v>
      </c>
      <c r="B17" s="9" t="s">
        <v>26</v>
      </c>
      <c r="C17" s="9"/>
      <c r="D17" s="9">
        <v>100000</v>
      </c>
    </row>
    <row r="19" spans="1:4" ht="21.6" customHeight="1" x14ac:dyDescent="0.3">
      <c r="A19" s="14">
        <v>4</v>
      </c>
      <c r="B19" s="28" t="s">
        <v>27</v>
      </c>
      <c r="C19" s="28"/>
      <c r="D19" s="28"/>
    </row>
    <row r="20" spans="1:4" x14ac:dyDescent="0.3">
      <c r="A20" s="15" t="s">
        <v>16</v>
      </c>
      <c r="B20" s="12" t="s">
        <v>17</v>
      </c>
      <c r="C20" s="12" t="s">
        <v>18</v>
      </c>
      <c r="D20" s="12" t="s">
        <v>19</v>
      </c>
    </row>
    <row r="21" spans="1:4" x14ac:dyDescent="0.3">
      <c r="A21" s="16">
        <v>57</v>
      </c>
      <c r="B21" s="6" t="s">
        <v>7</v>
      </c>
      <c r="C21" s="6">
        <v>15000</v>
      </c>
      <c r="D21" s="6"/>
    </row>
    <row r="22" spans="1:4" x14ac:dyDescent="0.3">
      <c r="A22" s="17">
        <v>430</v>
      </c>
      <c r="B22" s="9" t="s">
        <v>5</v>
      </c>
      <c r="C22" s="9"/>
      <c r="D22" s="9">
        <v>15000</v>
      </c>
    </row>
    <row r="24" spans="1:4" ht="22.8" customHeight="1" x14ac:dyDescent="0.3">
      <c r="A24" s="14">
        <v>5</v>
      </c>
      <c r="B24" s="28" t="s">
        <v>28</v>
      </c>
      <c r="C24" s="28"/>
      <c r="D24" s="28"/>
    </row>
    <row r="25" spans="1:4" x14ac:dyDescent="0.3">
      <c r="A25" s="15" t="s">
        <v>16</v>
      </c>
      <c r="B25" s="12" t="s">
        <v>17</v>
      </c>
      <c r="C25" s="12" t="s">
        <v>18</v>
      </c>
      <c r="D25" s="12" t="s">
        <v>19</v>
      </c>
    </row>
    <row r="26" spans="1:4" x14ac:dyDescent="0.3">
      <c r="A26" s="14">
        <v>640</v>
      </c>
      <c r="B26" s="11" t="s">
        <v>29</v>
      </c>
      <c r="C26" s="11">
        <v>36000</v>
      </c>
    </row>
    <row r="27" spans="1:4" x14ac:dyDescent="0.3">
      <c r="A27" s="17">
        <v>57</v>
      </c>
      <c r="B27" s="9" t="s">
        <v>7</v>
      </c>
      <c r="C27" s="9"/>
      <c r="D27" s="9">
        <v>36000</v>
      </c>
    </row>
    <row r="29" spans="1:4" ht="20.399999999999999" customHeight="1" x14ac:dyDescent="0.3">
      <c r="A29" s="14">
        <v>6</v>
      </c>
      <c r="B29" s="28" t="s">
        <v>30</v>
      </c>
      <c r="C29" s="28"/>
      <c r="D29" s="28"/>
    </row>
    <row r="30" spans="1:4" x14ac:dyDescent="0.3">
      <c r="A30" s="15" t="s">
        <v>16</v>
      </c>
      <c r="B30" s="12" t="s">
        <v>17</v>
      </c>
      <c r="C30" s="12" t="s">
        <v>18</v>
      </c>
      <c r="D30" s="12" t="s">
        <v>19</v>
      </c>
    </row>
    <row r="31" spans="1:4" x14ac:dyDescent="0.3">
      <c r="A31" s="14">
        <v>628</v>
      </c>
      <c r="B31" s="11" t="s">
        <v>31</v>
      </c>
      <c r="C31" s="11">
        <v>2100</v>
      </c>
    </row>
    <row r="32" spans="1:4" x14ac:dyDescent="0.3">
      <c r="A32" s="17">
        <v>57</v>
      </c>
      <c r="B32" s="9" t="s">
        <v>7</v>
      </c>
      <c r="C32" s="9"/>
      <c r="D32" s="9">
        <v>2100</v>
      </c>
    </row>
    <row r="34" spans="1:4" ht="22.8" customHeight="1" x14ac:dyDescent="0.3">
      <c r="A34" s="14">
        <v>7</v>
      </c>
      <c r="B34" s="28" t="s">
        <v>32</v>
      </c>
      <c r="C34" s="28"/>
      <c r="D34" s="28"/>
    </row>
    <row r="35" spans="1:4" x14ac:dyDescent="0.3">
      <c r="A35" s="15" t="s">
        <v>16</v>
      </c>
      <c r="B35" s="12" t="s">
        <v>17</v>
      </c>
      <c r="C35" s="12" t="s">
        <v>18</v>
      </c>
      <c r="D35" s="12" t="s">
        <v>19</v>
      </c>
    </row>
    <row r="36" spans="1:4" x14ac:dyDescent="0.3">
      <c r="A36" s="14">
        <v>528</v>
      </c>
      <c r="B36" s="11" t="s">
        <v>33</v>
      </c>
      <c r="C36" s="11">
        <v>2050</v>
      </c>
    </row>
    <row r="37" spans="1:4" x14ac:dyDescent="0.3">
      <c r="A37" s="17">
        <v>57</v>
      </c>
      <c r="B37" s="9" t="s">
        <v>7</v>
      </c>
      <c r="C37" s="9"/>
      <c r="D37" s="9">
        <v>2050</v>
      </c>
    </row>
    <row r="39" spans="1:4" ht="22.2" customHeight="1" x14ac:dyDescent="0.3">
      <c r="A39" s="14">
        <v>8</v>
      </c>
      <c r="B39" s="28" t="s">
        <v>35</v>
      </c>
      <c r="C39" s="28"/>
      <c r="D39" s="28"/>
    </row>
    <row r="40" spans="1:4" x14ac:dyDescent="0.3">
      <c r="A40" s="15" t="s">
        <v>16</v>
      </c>
      <c r="B40" s="12" t="s">
        <v>17</v>
      </c>
      <c r="C40" s="12" t="s">
        <v>18</v>
      </c>
      <c r="D40" s="12" t="s">
        <v>19</v>
      </c>
    </row>
    <row r="41" spans="1:4" x14ac:dyDescent="0.3">
      <c r="A41" s="14">
        <v>520</v>
      </c>
      <c r="B41" s="11" t="s">
        <v>34</v>
      </c>
      <c r="C41" s="6">
        <v>20000</v>
      </c>
    </row>
    <row r="42" spans="1:4" x14ac:dyDescent="0.3">
      <c r="A42" s="17">
        <v>57</v>
      </c>
      <c r="B42" s="9" t="s">
        <v>7</v>
      </c>
      <c r="C42" s="9"/>
      <c r="D42" s="9">
        <v>20000</v>
      </c>
    </row>
    <row r="44" spans="1:4" x14ac:dyDescent="0.3">
      <c r="A44" s="14">
        <v>9</v>
      </c>
      <c r="B44" s="28" t="s">
        <v>36</v>
      </c>
      <c r="C44" s="28"/>
      <c r="D44" s="28"/>
    </row>
    <row r="45" spans="1:4" x14ac:dyDescent="0.3">
      <c r="A45" s="15" t="s">
        <v>16</v>
      </c>
      <c r="B45" s="12" t="s">
        <v>17</v>
      </c>
      <c r="C45" s="12" t="s">
        <v>18</v>
      </c>
      <c r="D45" s="12" t="s">
        <v>19</v>
      </c>
    </row>
    <row r="46" spans="1:4" x14ac:dyDescent="0.3">
      <c r="A46" s="16">
        <v>57</v>
      </c>
      <c r="B46" s="6" t="s">
        <v>7</v>
      </c>
      <c r="C46" s="6">
        <v>100</v>
      </c>
      <c r="D46" s="6"/>
    </row>
    <row r="47" spans="1:4" x14ac:dyDescent="0.3">
      <c r="A47" s="17">
        <v>769</v>
      </c>
      <c r="B47" s="9" t="s">
        <v>37</v>
      </c>
      <c r="C47" s="9"/>
      <c r="D47" s="9">
        <v>100</v>
      </c>
    </row>
    <row r="49" spans="1:4" ht="19.8" customHeight="1" x14ac:dyDescent="0.3">
      <c r="A49" s="14">
        <v>10</v>
      </c>
      <c r="B49" s="28" t="s">
        <v>38</v>
      </c>
      <c r="C49" s="28"/>
      <c r="D49" s="28"/>
    </row>
    <row r="50" spans="1:4" x14ac:dyDescent="0.3">
      <c r="A50" s="15" t="s">
        <v>16</v>
      </c>
      <c r="B50" s="12" t="s">
        <v>17</v>
      </c>
      <c r="C50" s="12" t="s">
        <v>18</v>
      </c>
      <c r="D50" s="12" t="s">
        <v>19</v>
      </c>
    </row>
    <row r="51" spans="1:4" x14ac:dyDescent="0.3">
      <c r="A51" s="14">
        <v>250</v>
      </c>
      <c r="B51" s="11" t="s">
        <v>39</v>
      </c>
      <c r="C51" s="11">
        <v>1100</v>
      </c>
    </row>
    <row r="52" spans="1:4" x14ac:dyDescent="0.3">
      <c r="A52" s="17">
        <v>57</v>
      </c>
      <c r="B52" s="9" t="s">
        <v>7</v>
      </c>
      <c r="C52" s="9"/>
      <c r="D52" s="9">
        <v>1100</v>
      </c>
    </row>
    <row r="54" spans="1:4" ht="21" customHeight="1" x14ac:dyDescent="0.3">
      <c r="A54" s="14">
        <v>11</v>
      </c>
      <c r="B54" s="28" t="s">
        <v>40</v>
      </c>
      <c r="C54" s="28"/>
      <c r="D54" s="28"/>
    </row>
    <row r="55" spans="1:4" x14ac:dyDescent="0.3">
      <c r="A55" s="15" t="s">
        <v>16</v>
      </c>
      <c r="B55" s="12" t="s">
        <v>17</v>
      </c>
      <c r="C55" s="12" t="s">
        <v>18</v>
      </c>
      <c r="D55" s="12" t="s">
        <v>19</v>
      </c>
    </row>
    <row r="56" spans="1:4" x14ac:dyDescent="0.3">
      <c r="A56" s="14">
        <v>170</v>
      </c>
      <c r="B56" s="6" t="s">
        <v>41</v>
      </c>
      <c r="C56" s="11">
        <v>20000</v>
      </c>
    </row>
    <row r="57" spans="1:4" x14ac:dyDescent="0.3">
      <c r="A57" s="17">
        <v>520</v>
      </c>
      <c r="B57" s="9" t="s">
        <v>34</v>
      </c>
      <c r="C57" s="9"/>
      <c r="D57" s="9">
        <v>20000</v>
      </c>
    </row>
    <row r="59" spans="1:4" ht="19.8" customHeight="1" x14ac:dyDescent="0.3">
      <c r="A59" s="14">
        <v>12</v>
      </c>
      <c r="B59" s="11" t="s">
        <v>42</v>
      </c>
    </row>
    <row r="60" spans="1:4" x14ac:dyDescent="0.3">
      <c r="A60" s="15" t="s">
        <v>16</v>
      </c>
      <c r="B60" s="12" t="s">
        <v>17</v>
      </c>
      <c r="C60" s="12" t="s">
        <v>18</v>
      </c>
      <c r="D60" s="12" t="s">
        <v>19</v>
      </c>
    </row>
    <row r="61" spans="1:4" x14ac:dyDescent="0.3">
      <c r="A61" s="14">
        <v>681</v>
      </c>
      <c r="B61" s="11" t="s">
        <v>43</v>
      </c>
      <c r="C61" s="11">
        <v>700</v>
      </c>
    </row>
    <row r="62" spans="1:4" x14ac:dyDescent="0.3">
      <c r="A62" s="17">
        <v>281</v>
      </c>
      <c r="B62" s="9" t="s">
        <v>44</v>
      </c>
      <c r="C62" s="9"/>
      <c r="D62" s="9">
        <v>700</v>
      </c>
    </row>
    <row r="64" spans="1:4" ht="38.4" customHeight="1" x14ac:dyDescent="0.3">
      <c r="A64" s="13">
        <v>13</v>
      </c>
      <c r="B64" s="26" t="s">
        <v>45</v>
      </c>
      <c r="C64" s="26"/>
      <c r="D64" s="26"/>
    </row>
    <row r="65" spans="1:4" x14ac:dyDescent="0.3">
      <c r="A65" s="15" t="s">
        <v>16</v>
      </c>
      <c r="B65" s="12" t="s">
        <v>17</v>
      </c>
      <c r="C65" s="12" t="s">
        <v>18</v>
      </c>
      <c r="D65" s="12" t="s">
        <v>19</v>
      </c>
    </row>
    <row r="66" spans="1:4" x14ac:dyDescent="0.3">
      <c r="A66" s="14">
        <v>629</v>
      </c>
      <c r="B66" s="11" t="s">
        <v>46</v>
      </c>
      <c r="C66" s="11">
        <v>1500</v>
      </c>
    </row>
    <row r="67" spans="1:4" x14ac:dyDescent="0.3">
      <c r="A67" s="17">
        <v>410</v>
      </c>
      <c r="B67" s="9" t="s">
        <v>47</v>
      </c>
      <c r="C67" s="9"/>
      <c r="D67" s="9">
        <v>1500</v>
      </c>
    </row>
    <row r="69" spans="1:4" ht="43.2" customHeight="1" x14ac:dyDescent="0.3">
      <c r="A69" s="14">
        <v>14</v>
      </c>
      <c r="B69" s="27" t="s">
        <v>48</v>
      </c>
      <c r="C69" s="28"/>
      <c r="D69" s="28"/>
    </row>
    <row r="70" spans="1:4" x14ac:dyDescent="0.3">
      <c r="A70" s="15" t="s">
        <v>16</v>
      </c>
      <c r="B70" s="12" t="s">
        <v>17</v>
      </c>
      <c r="C70" s="12" t="s">
        <v>18</v>
      </c>
      <c r="D70" s="12" t="s">
        <v>19</v>
      </c>
    </row>
    <row r="71" spans="1:4" x14ac:dyDescent="0.3">
      <c r="A71" s="14">
        <v>440</v>
      </c>
      <c r="B71" s="11" t="s">
        <v>68</v>
      </c>
      <c r="C71" s="11">
        <v>12000</v>
      </c>
    </row>
    <row r="72" spans="1:4" x14ac:dyDescent="0.3">
      <c r="A72" s="17">
        <v>752</v>
      </c>
      <c r="B72" s="9" t="s">
        <v>49</v>
      </c>
      <c r="C72" s="9"/>
      <c r="D72" s="9">
        <v>12000</v>
      </c>
    </row>
    <row r="74" spans="1:4" ht="27" customHeight="1" x14ac:dyDescent="0.3">
      <c r="A74" s="14">
        <v>15</v>
      </c>
      <c r="B74" s="27" t="s">
        <v>50</v>
      </c>
      <c r="C74" s="27"/>
      <c r="D74" s="27"/>
    </row>
    <row r="75" spans="1:4" x14ac:dyDescent="0.3">
      <c r="A75" s="15" t="s">
        <v>16</v>
      </c>
      <c r="B75" s="12" t="s">
        <v>17</v>
      </c>
      <c r="C75" s="12" t="s">
        <v>18</v>
      </c>
      <c r="D75" s="12" t="s">
        <v>19</v>
      </c>
    </row>
    <row r="76" spans="1:4" x14ac:dyDescent="0.3">
      <c r="A76" s="14">
        <v>600</v>
      </c>
      <c r="B76" s="11" t="s">
        <v>51</v>
      </c>
      <c r="C76" s="11">
        <v>520</v>
      </c>
    </row>
    <row r="77" spans="1:4" x14ac:dyDescent="0.3">
      <c r="A77" s="17">
        <v>4009</v>
      </c>
      <c r="B77" s="9" t="s">
        <v>52</v>
      </c>
      <c r="C77" s="9"/>
      <c r="D77" s="9">
        <v>520</v>
      </c>
    </row>
    <row r="79" spans="1:4" ht="28.8" customHeight="1" x14ac:dyDescent="0.3">
      <c r="A79" s="14">
        <v>16</v>
      </c>
      <c r="B79" s="29" t="s">
        <v>53</v>
      </c>
      <c r="C79" s="25"/>
      <c r="D79" s="25"/>
    </row>
    <row r="80" spans="1:4" x14ac:dyDescent="0.3">
      <c r="A80" s="15" t="s">
        <v>16</v>
      </c>
      <c r="B80" s="12" t="s">
        <v>17</v>
      </c>
      <c r="C80" s="12" t="s">
        <v>18</v>
      </c>
      <c r="D80" s="12" t="s">
        <v>19</v>
      </c>
    </row>
    <row r="81" spans="1:4" x14ac:dyDescent="0.3">
      <c r="A81" s="14">
        <v>4309</v>
      </c>
      <c r="B81" s="11" t="s">
        <v>54</v>
      </c>
      <c r="C81" s="11">
        <v>3000</v>
      </c>
    </row>
    <row r="82" spans="1:4" x14ac:dyDescent="0.3">
      <c r="A82" s="17">
        <v>430</v>
      </c>
      <c r="B82" s="9" t="s">
        <v>5</v>
      </c>
      <c r="C82" s="9"/>
      <c r="D82" s="9">
        <v>3000</v>
      </c>
    </row>
    <row r="84" spans="1:4" ht="19.8" customHeight="1" x14ac:dyDescent="0.3">
      <c r="A84" s="14">
        <v>17</v>
      </c>
      <c r="B84" t="s">
        <v>55</v>
      </c>
    </row>
    <row r="85" spans="1:4" x14ac:dyDescent="0.3">
      <c r="A85" s="15" t="s">
        <v>16</v>
      </c>
      <c r="B85" s="12" t="s">
        <v>17</v>
      </c>
      <c r="C85" s="12" t="s">
        <v>18</v>
      </c>
      <c r="D85" s="12" t="s">
        <v>19</v>
      </c>
    </row>
    <row r="86" spans="1:4" x14ac:dyDescent="0.3">
      <c r="A86" s="16">
        <v>610</v>
      </c>
      <c r="B86" s="6" t="s">
        <v>56</v>
      </c>
      <c r="C86" s="6">
        <v>11000</v>
      </c>
      <c r="D86" s="6"/>
    </row>
    <row r="87" spans="1:4" x14ac:dyDescent="0.3">
      <c r="A87" s="16">
        <v>300</v>
      </c>
      <c r="B87" s="6" t="s">
        <v>6</v>
      </c>
      <c r="C87" s="6"/>
      <c r="D87" s="6">
        <v>11000</v>
      </c>
    </row>
    <row r="89" spans="1:4" x14ac:dyDescent="0.3">
      <c r="A89" s="18" t="s">
        <v>16</v>
      </c>
      <c r="B89" s="19" t="s">
        <v>17</v>
      </c>
      <c r="C89" s="19" t="s">
        <v>18</v>
      </c>
      <c r="D89" s="19" t="s">
        <v>19</v>
      </c>
    </row>
    <row r="90" spans="1:4" x14ac:dyDescent="0.3">
      <c r="A90" s="14">
        <v>300</v>
      </c>
      <c r="B90" s="11" t="s">
        <v>6</v>
      </c>
      <c r="C90" s="11">
        <v>4000</v>
      </c>
    </row>
    <row r="91" spans="1:4" x14ac:dyDescent="0.3">
      <c r="A91" s="17">
        <v>610</v>
      </c>
      <c r="B91" s="9" t="s">
        <v>56</v>
      </c>
      <c r="C91" s="9"/>
      <c r="D91" s="9">
        <v>4000</v>
      </c>
    </row>
    <row r="93" spans="1:4" x14ac:dyDescent="0.3">
      <c r="A93" s="14">
        <v>18</v>
      </c>
      <c r="B93" s="25" t="s">
        <v>58</v>
      </c>
      <c r="C93" s="25"/>
      <c r="D93" s="25"/>
    </row>
    <row r="94" spans="1:4" x14ac:dyDescent="0.3">
      <c r="A94" s="15" t="s">
        <v>16</v>
      </c>
      <c r="B94" s="12" t="s">
        <v>17</v>
      </c>
      <c r="C94" s="12" t="s">
        <v>18</v>
      </c>
      <c r="D94" s="12" t="s">
        <v>19</v>
      </c>
    </row>
    <row r="95" spans="1:4" x14ac:dyDescent="0.3">
      <c r="A95" s="14">
        <v>630</v>
      </c>
      <c r="B95" s="11" t="s">
        <v>60</v>
      </c>
    </row>
    <row r="96" spans="1:4" x14ac:dyDescent="0.3">
      <c r="A96" s="17">
        <v>470</v>
      </c>
      <c r="B96" s="9" t="s">
        <v>59</v>
      </c>
      <c r="C96" s="9"/>
      <c r="D96" s="9"/>
    </row>
  </sheetData>
  <mergeCells count="17">
    <mergeCell ref="B54:D54"/>
    <mergeCell ref="A1:D1"/>
    <mergeCell ref="B2:D2"/>
    <mergeCell ref="B8:D8"/>
    <mergeCell ref="B13:D13"/>
    <mergeCell ref="B19:D19"/>
    <mergeCell ref="B24:D24"/>
    <mergeCell ref="B29:D29"/>
    <mergeCell ref="B34:D34"/>
    <mergeCell ref="B39:D39"/>
    <mergeCell ref="B44:D44"/>
    <mergeCell ref="B49:D49"/>
    <mergeCell ref="B64:D64"/>
    <mergeCell ref="B69:D69"/>
    <mergeCell ref="B74:D74"/>
    <mergeCell ref="B79:D79"/>
    <mergeCell ref="B93:D9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EF99-9192-4F94-B68A-49EFA4C8BE66}">
  <dimension ref="A1:F28"/>
  <sheetViews>
    <sheetView tabSelected="1" zoomScale="115" zoomScaleNormal="115" workbookViewId="0">
      <selection activeCell="B29" sqref="B29"/>
    </sheetView>
    <sheetView tabSelected="1" workbookViewId="1">
      <selection activeCell="F26" sqref="F26"/>
    </sheetView>
  </sheetViews>
  <sheetFormatPr defaultRowHeight="14.4" x14ac:dyDescent="0.3"/>
  <cols>
    <col min="1" max="1" width="10.88671875" style="10" customWidth="1"/>
    <col min="2" max="2" width="65.109375" style="10" customWidth="1"/>
    <col min="3" max="4" width="12.5546875" style="38" customWidth="1"/>
    <col min="5" max="5" width="12.6640625" style="38" customWidth="1"/>
    <col min="6" max="6" width="13.109375" style="38" customWidth="1"/>
    <col min="7" max="16384" width="8.88671875" style="10"/>
  </cols>
  <sheetData>
    <row r="1" spans="1:6" s="21" customFormat="1" x14ac:dyDescent="0.3">
      <c r="C1" s="33" t="s">
        <v>63</v>
      </c>
      <c r="D1" s="33"/>
      <c r="E1" s="33" t="s">
        <v>64</v>
      </c>
      <c r="F1" s="33"/>
    </row>
    <row r="2" spans="1:6" s="21" customFormat="1" x14ac:dyDescent="0.3">
      <c r="A2" s="22" t="s">
        <v>16</v>
      </c>
      <c r="B2" s="4" t="s">
        <v>17</v>
      </c>
      <c r="C2" s="34" t="s">
        <v>18</v>
      </c>
      <c r="D2" s="34" t="s">
        <v>19</v>
      </c>
      <c r="E2" s="35" t="s">
        <v>65</v>
      </c>
      <c r="F2" s="35" t="s">
        <v>66</v>
      </c>
    </row>
    <row r="3" spans="1:6" s="21" customFormat="1" x14ac:dyDescent="0.3">
      <c r="A3" s="21">
        <v>57</v>
      </c>
      <c r="B3" s="21" t="s">
        <v>62</v>
      </c>
      <c r="C3" s="36">
        <f>'Registros contables'!C15+'Registros contables'!C21+'Registros contables'!C46</f>
        <v>90100</v>
      </c>
      <c r="D3" s="36">
        <f>'Registros contables'!D6+'Registros contables'!D11+'Registros contables'!D27+'Registros contables'!D32+'Registros contables'!D37+'Registros contables'!D42+'Registros contables'!D52+'Registros contables'!D52</f>
        <v>99850</v>
      </c>
      <c r="E3" s="36"/>
      <c r="F3" s="36">
        <f>D3-C3</f>
        <v>9750</v>
      </c>
    </row>
    <row r="4" spans="1:6" s="21" customFormat="1" x14ac:dyDescent="0.3">
      <c r="A4" s="23">
        <v>600</v>
      </c>
      <c r="B4" s="3" t="s">
        <v>51</v>
      </c>
      <c r="C4" s="36">
        <f>'Registros contables'!C4+'Registros contables'!C76</f>
        <v>25520</v>
      </c>
      <c r="D4" s="36"/>
      <c r="E4" s="36">
        <f>C4</f>
        <v>25520</v>
      </c>
      <c r="F4" s="36"/>
    </row>
    <row r="5" spans="1:6" s="21" customFormat="1" x14ac:dyDescent="0.3">
      <c r="A5" s="21">
        <v>400</v>
      </c>
      <c r="B5" s="21" t="s">
        <v>14</v>
      </c>
      <c r="C5" s="36">
        <v>20000</v>
      </c>
      <c r="D5" s="36">
        <f>'Registros contables'!D5</f>
        <v>7500</v>
      </c>
      <c r="E5" s="36">
        <f>C5-D5</f>
        <v>12500</v>
      </c>
      <c r="F5" s="36"/>
    </row>
    <row r="6" spans="1:6" s="21" customFormat="1" x14ac:dyDescent="0.3">
      <c r="A6" s="23">
        <v>430</v>
      </c>
      <c r="B6" s="3" t="s">
        <v>5</v>
      </c>
      <c r="C6" s="36">
        <f>'Registros contables'!C16</f>
        <v>25000</v>
      </c>
      <c r="D6" s="36">
        <f>'Registros contables'!D22+'Registros contables'!D82</f>
        <v>18000</v>
      </c>
      <c r="E6" s="36">
        <f>C6-D6</f>
        <v>7000</v>
      </c>
      <c r="F6" s="36"/>
    </row>
    <row r="7" spans="1:6" s="21" customFormat="1" x14ac:dyDescent="0.3">
      <c r="A7" s="23">
        <v>700</v>
      </c>
      <c r="B7" s="3" t="s">
        <v>26</v>
      </c>
      <c r="C7" s="36"/>
      <c r="D7" s="36">
        <f>'Registros contables'!D17</f>
        <v>100000</v>
      </c>
      <c r="E7" s="36"/>
      <c r="F7" s="36">
        <f>D7</f>
        <v>100000</v>
      </c>
    </row>
    <row r="8" spans="1:6" s="21" customFormat="1" x14ac:dyDescent="0.3">
      <c r="A8" s="23">
        <v>769</v>
      </c>
      <c r="B8" s="3" t="s">
        <v>37</v>
      </c>
      <c r="C8" s="36"/>
      <c r="D8" s="36">
        <f>'Registros contables'!D47</f>
        <v>100</v>
      </c>
      <c r="E8" s="36"/>
      <c r="F8" s="36">
        <f>D8</f>
        <v>100</v>
      </c>
    </row>
    <row r="9" spans="1:6" s="21" customFormat="1" x14ac:dyDescent="0.3">
      <c r="A9" s="23">
        <v>250</v>
      </c>
      <c r="B9" s="3" t="s">
        <v>39</v>
      </c>
      <c r="C9" s="36">
        <f>'Registros contables'!C51</f>
        <v>1100</v>
      </c>
      <c r="D9" s="36"/>
      <c r="E9" s="36">
        <f>C9</f>
        <v>1100</v>
      </c>
      <c r="F9" s="36"/>
    </row>
    <row r="10" spans="1:6" s="21" customFormat="1" x14ac:dyDescent="0.3">
      <c r="A10" s="23">
        <v>520</v>
      </c>
      <c r="B10" s="3" t="s">
        <v>34</v>
      </c>
      <c r="C10" s="36">
        <f>'Registros contables'!C41</f>
        <v>20000</v>
      </c>
      <c r="D10" s="36">
        <f>'Registros contables'!D57</f>
        <v>20000</v>
      </c>
      <c r="E10" s="36">
        <v>0</v>
      </c>
      <c r="F10" s="36">
        <v>0</v>
      </c>
    </row>
    <row r="11" spans="1:6" s="21" customFormat="1" x14ac:dyDescent="0.3">
      <c r="A11" s="23">
        <v>250</v>
      </c>
      <c r="B11" s="3" t="s">
        <v>39</v>
      </c>
      <c r="C11" s="36">
        <f>'Registros contables'!C51</f>
        <v>1100</v>
      </c>
      <c r="D11" s="36"/>
      <c r="E11" s="36">
        <f>C11</f>
        <v>1100</v>
      </c>
      <c r="F11" s="36"/>
    </row>
    <row r="12" spans="1:6" s="21" customFormat="1" x14ac:dyDescent="0.3">
      <c r="A12" s="23">
        <v>170</v>
      </c>
      <c r="B12" s="3" t="s">
        <v>41</v>
      </c>
      <c r="C12" s="36">
        <f>'Registros contables'!C56</f>
        <v>20000</v>
      </c>
      <c r="D12" s="36"/>
      <c r="E12" s="36">
        <f>C12</f>
        <v>20000</v>
      </c>
      <c r="F12" s="36"/>
    </row>
    <row r="13" spans="1:6" s="21" customFormat="1" x14ac:dyDescent="0.3">
      <c r="A13" s="23">
        <v>681</v>
      </c>
      <c r="B13" s="3" t="s">
        <v>43</v>
      </c>
      <c r="C13" s="36">
        <f>'Registros contables'!C61</f>
        <v>700</v>
      </c>
      <c r="D13" s="36"/>
      <c r="E13" s="36">
        <f>C13</f>
        <v>700</v>
      </c>
      <c r="F13" s="36"/>
    </row>
    <row r="14" spans="1:6" s="21" customFormat="1" x14ac:dyDescent="0.3">
      <c r="A14" s="23">
        <v>281</v>
      </c>
      <c r="B14" s="3" t="s">
        <v>44</v>
      </c>
      <c r="C14" s="36"/>
      <c r="D14" s="36">
        <f>'Registros contables'!D62</f>
        <v>700</v>
      </c>
      <c r="E14" s="36"/>
      <c r="F14" s="36">
        <f>D14</f>
        <v>700</v>
      </c>
    </row>
    <row r="15" spans="1:6" s="21" customFormat="1" x14ac:dyDescent="0.3">
      <c r="A15" s="23">
        <v>629</v>
      </c>
      <c r="B15" s="3" t="s">
        <v>46</v>
      </c>
      <c r="C15" s="36">
        <f>'Registros contables'!C66</f>
        <v>1500</v>
      </c>
      <c r="D15" s="36"/>
      <c r="E15" s="36">
        <f>C15</f>
        <v>1500</v>
      </c>
      <c r="F15" s="36"/>
    </row>
    <row r="16" spans="1:6" s="21" customFormat="1" x14ac:dyDescent="0.3">
      <c r="A16" s="23">
        <v>410</v>
      </c>
      <c r="B16" s="3" t="s">
        <v>47</v>
      </c>
      <c r="C16" s="36"/>
      <c r="D16" s="36">
        <f>'Registros contables'!D67</f>
        <v>1500</v>
      </c>
      <c r="E16" s="36"/>
      <c r="F16" s="36">
        <f>D16</f>
        <v>1500</v>
      </c>
    </row>
    <row r="17" spans="1:6" s="21" customFormat="1" x14ac:dyDescent="0.3">
      <c r="A17" s="23">
        <v>752</v>
      </c>
      <c r="B17" s="3" t="s">
        <v>49</v>
      </c>
      <c r="C17" s="36"/>
      <c r="D17" s="37">
        <f>'Registros contables'!D72</f>
        <v>12000</v>
      </c>
      <c r="E17" s="36"/>
      <c r="F17" s="36">
        <f>D17</f>
        <v>12000</v>
      </c>
    </row>
    <row r="18" spans="1:6" s="21" customFormat="1" x14ac:dyDescent="0.3">
      <c r="A18" s="23">
        <v>610</v>
      </c>
      <c r="B18" s="3" t="s">
        <v>56</v>
      </c>
      <c r="C18" s="36">
        <f>'Registros contables'!C86</f>
        <v>11000</v>
      </c>
      <c r="D18" s="36">
        <f>'Registros contables'!D91</f>
        <v>4000</v>
      </c>
      <c r="E18" s="36">
        <f>C18-D18</f>
        <v>7000</v>
      </c>
      <c r="F18" s="36"/>
    </row>
    <row r="19" spans="1:6" s="21" customFormat="1" x14ac:dyDescent="0.3">
      <c r="A19" s="21">
        <v>640</v>
      </c>
      <c r="B19" s="21" t="s">
        <v>29</v>
      </c>
      <c r="C19" s="36">
        <f>'Registros contables'!C26</f>
        <v>36000</v>
      </c>
      <c r="D19" s="36"/>
      <c r="E19" s="36">
        <f>C19</f>
        <v>36000</v>
      </c>
      <c r="F19" s="36"/>
    </row>
    <row r="20" spans="1:6" s="21" customFormat="1" x14ac:dyDescent="0.3">
      <c r="A20" s="21">
        <v>628</v>
      </c>
      <c r="B20" s="21" t="s">
        <v>31</v>
      </c>
      <c r="C20" s="36">
        <f>'Registros contables'!C31</f>
        <v>2100</v>
      </c>
      <c r="D20" s="36"/>
      <c r="E20" s="36">
        <f t="shared" ref="E20:E22" si="0">C20</f>
        <v>2100</v>
      </c>
      <c r="F20" s="36"/>
    </row>
    <row r="21" spans="1:6" s="21" customFormat="1" x14ac:dyDescent="0.3">
      <c r="A21" s="23">
        <v>528</v>
      </c>
      <c r="B21" s="3" t="s">
        <v>33</v>
      </c>
      <c r="C21" s="36">
        <f>'Registros contables'!C36</f>
        <v>2050</v>
      </c>
      <c r="D21" s="36"/>
      <c r="E21" s="36">
        <f t="shared" si="0"/>
        <v>2050</v>
      </c>
      <c r="F21" s="36"/>
    </row>
    <row r="22" spans="1:6" s="21" customFormat="1" x14ac:dyDescent="0.3">
      <c r="A22" s="21">
        <v>440</v>
      </c>
      <c r="B22" s="21" t="s">
        <v>68</v>
      </c>
      <c r="C22" s="36">
        <f>'Registros contables'!C71</f>
        <v>12000</v>
      </c>
      <c r="D22" s="36"/>
      <c r="E22" s="36">
        <f t="shared" si="0"/>
        <v>12000</v>
      </c>
      <c r="F22" s="36"/>
    </row>
    <row r="23" spans="1:6" s="21" customFormat="1" x14ac:dyDescent="0.3">
      <c r="A23" s="21">
        <v>4009</v>
      </c>
      <c r="B23" s="3" t="s">
        <v>52</v>
      </c>
      <c r="C23" s="36"/>
      <c r="D23" s="36">
        <f>'Registros contables'!D77</f>
        <v>520</v>
      </c>
      <c r="E23" s="36"/>
      <c r="F23" s="36">
        <f>D23</f>
        <v>520</v>
      </c>
    </row>
    <row r="24" spans="1:6" s="21" customFormat="1" x14ac:dyDescent="0.3">
      <c r="A24" s="21">
        <v>4309</v>
      </c>
      <c r="B24" s="3" t="s">
        <v>54</v>
      </c>
      <c r="C24" s="36">
        <f>'Registros contables'!C81</f>
        <v>3000</v>
      </c>
      <c r="D24" s="36"/>
      <c r="E24" s="36">
        <f>C24</f>
        <v>3000</v>
      </c>
      <c r="F24" s="36"/>
    </row>
    <row r="25" spans="1:6" s="21" customFormat="1" x14ac:dyDescent="0.3">
      <c r="A25" s="21">
        <v>300</v>
      </c>
      <c r="B25" s="21" t="s">
        <v>6</v>
      </c>
      <c r="C25" s="36">
        <f>'Registros contables'!C90</f>
        <v>4000</v>
      </c>
      <c r="D25" s="36">
        <f>'Registros contables'!D87</f>
        <v>11000</v>
      </c>
      <c r="E25" s="36"/>
      <c r="F25" s="36">
        <f>D25-C25</f>
        <v>7000</v>
      </c>
    </row>
    <row r="26" spans="1:6" s="21" customFormat="1" x14ac:dyDescent="0.3">
      <c r="C26" s="36"/>
      <c r="D26" s="36"/>
      <c r="E26" s="36"/>
      <c r="F26" s="36"/>
    </row>
    <row r="27" spans="1:6" s="21" customFormat="1" x14ac:dyDescent="0.3">
      <c r="C27" s="36"/>
      <c r="D27" s="36"/>
      <c r="E27" s="36"/>
      <c r="F27" s="36"/>
    </row>
    <row r="28" spans="1:6" s="21" customFormat="1" x14ac:dyDescent="0.3">
      <c r="A28" s="21" t="s">
        <v>8</v>
      </c>
      <c r="C28" s="36">
        <f>SUM(C3:C27)</f>
        <v>275170</v>
      </c>
      <c r="D28" s="36">
        <f>SUM(D3:D27)</f>
        <v>275170</v>
      </c>
      <c r="E28" s="36">
        <f>SUM(E3:E27)</f>
        <v>131570</v>
      </c>
      <c r="F28" s="36">
        <f>SUM(F3:F27)</f>
        <v>131570</v>
      </c>
    </row>
  </sheetData>
  <mergeCells count="2">
    <mergeCell ref="C1:D1"/>
    <mergeCell ref="E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A0AA-A748-412F-AE1F-5A23E9A7DCF6}">
  <dimension ref="A1:D13"/>
  <sheetViews>
    <sheetView workbookViewId="0">
      <selection sqref="A1:D1"/>
    </sheetView>
    <sheetView workbookViewId="1">
      <selection activeCell="C4" sqref="C4"/>
    </sheetView>
  </sheetViews>
  <sheetFormatPr defaultRowHeight="14.4" x14ac:dyDescent="0.3"/>
  <cols>
    <col min="1" max="1" width="10" customWidth="1"/>
    <col min="2" max="2" width="62.109375" customWidth="1"/>
    <col min="3" max="3" width="19.44140625" customWidth="1"/>
    <col min="4" max="4" width="26.5546875" customWidth="1"/>
  </cols>
  <sheetData>
    <row r="1" spans="1:4" x14ac:dyDescent="0.3">
      <c r="A1" s="25" t="s">
        <v>61</v>
      </c>
      <c r="B1" s="25"/>
      <c r="C1" s="25"/>
      <c r="D1" s="25"/>
    </row>
    <row r="3" spans="1:4" x14ac:dyDescent="0.3">
      <c r="A3" s="15" t="s">
        <v>16</v>
      </c>
      <c r="B3" s="12" t="s">
        <v>17</v>
      </c>
      <c r="C3" s="12" t="s">
        <v>18</v>
      </c>
      <c r="D3" s="12" t="s">
        <v>19</v>
      </c>
    </row>
    <row r="4" spans="1:4" x14ac:dyDescent="0.3">
      <c r="A4" s="16">
        <v>129</v>
      </c>
      <c r="B4" s="6" t="s">
        <v>57</v>
      </c>
      <c r="C4" s="6">
        <f>SUM(D5:D13)</f>
        <v>99970</v>
      </c>
      <c r="D4" s="6"/>
    </row>
    <row r="5" spans="1:4" x14ac:dyDescent="0.3">
      <c r="A5" s="16">
        <v>600</v>
      </c>
      <c r="B5" s="11" t="s">
        <v>51</v>
      </c>
      <c r="D5" s="11">
        <f>'Registros contables'!C4+'Registros contables'!C76</f>
        <v>25520</v>
      </c>
    </row>
    <row r="6" spans="1:4" x14ac:dyDescent="0.3">
      <c r="A6" s="14">
        <v>640</v>
      </c>
      <c r="B6" s="11" t="s">
        <v>29</v>
      </c>
      <c r="D6" s="11">
        <v>36000</v>
      </c>
    </row>
    <row r="7" spans="1:4" x14ac:dyDescent="0.3">
      <c r="A7" s="14">
        <v>628</v>
      </c>
      <c r="B7" s="11" t="s">
        <v>31</v>
      </c>
      <c r="D7" s="11">
        <v>2100</v>
      </c>
    </row>
    <row r="8" spans="1:4" x14ac:dyDescent="0.3">
      <c r="A8" s="14">
        <v>528</v>
      </c>
      <c r="B8" s="11" t="s">
        <v>33</v>
      </c>
      <c r="D8" s="11">
        <v>2050</v>
      </c>
    </row>
    <row r="9" spans="1:4" x14ac:dyDescent="0.3">
      <c r="A9" s="14">
        <v>520</v>
      </c>
      <c r="B9" s="11" t="s">
        <v>34</v>
      </c>
      <c r="D9" s="6">
        <v>20000</v>
      </c>
    </row>
    <row r="10" spans="1:4" x14ac:dyDescent="0.3">
      <c r="A10" s="14">
        <v>250</v>
      </c>
      <c r="B10" s="11" t="s">
        <v>39</v>
      </c>
      <c r="D10" s="11">
        <v>1100</v>
      </c>
    </row>
    <row r="11" spans="1:4" x14ac:dyDescent="0.3">
      <c r="A11" s="14">
        <v>681</v>
      </c>
      <c r="B11" s="11" t="s">
        <v>43</v>
      </c>
      <c r="D11" s="11">
        <v>700</v>
      </c>
    </row>
    <row r="12" spans="1:4" x14ac:dyDescent="0.3">
      <c r="A12" s="14">
        <v>629</v>
      </c>
      <c r="B12" s="11" t="s">
        <v>46</v>
      </c>
      <c r="D12" s="11">
        <v>1500</v>
      </c>
    </row>
    <row r="13" spans="1:4" x14ac:dyDescent="0.3">
      <c r="A13" s="17">
        <v>610</v>
      </c>
      <c r="B13" s="9" t="s">
        <v>56</v>
      </c>
      <c r="C13" s="20"/>
      <c r="D13" s="9">
        <v>11000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Enero</vt:lpstr>
      <vt:lpstr>Asiento de apertura</vt:lpstr>
      <vt:lpstr>Registros contables</vt:lpstr>
      <vt:lpstr>SumasSaldos</vt:lpstr>
      <vt:lpstr>Regularizacion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cp:lastPrinted>2020-11-29T20:10:26Z</cp:lastPrinted>
  <dcterms:created xsi:type="dcterms:W3CDTF">2020-11-29T16:48:58Z</dcterms:created>
  <dcterms:modified xsi:type="dcterms:W3CDTF">2020-12-01T17:39:35Z</dcterms:modified>
</cp:coreProperties>
</file>