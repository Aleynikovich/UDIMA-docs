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lis.local\OneDrive - KUKA AG\UDIMA\InvOP\AEC\AEC2\"/>
    </mc:Choice>
  </mc:AlternateContent>
  <xr:revisionPtr revIDLastSave="0" documentId="8_{720215D2-8015-4619-9E1E-52CCDE0DED99}" xr6:coauthVersionLast="47" xr6:coauthVersionMax="47" xr10:uidLastSave="{00000000-0000-0000-0000-000000000000}"/>
  <bookViews>
    <workbookView xWindow="-108" yWindow="348" windowWidth="23256" windowHeight="12720" xr2:uid="{A27B454A-7785-46A4-9810-FEF68A9AA9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F16" i="1"/>
  <c r="D16" i="1"/>
  <c r="B16" i="1"/>
  <c r="L14" i="1"/>
  <c r="I14" i="1"/>
  <c r="L13" i="1"/>
  <c r="I13" i="1"/>
  <c r="I12" i="1"/>
  <c r="B8" i="1"/>
  <c r="L4" i="1"/>
  <c r="L3" i="1"/>
  <c r="D6" i="1"/>
  <c r="F6" i="1"/>
  <c r="B6" i="1"/>
  <c r="I3" i="1"/>
  <c r="I4" i="1"/>
  <c r="I2" i="1"/>
</calcChain>
</file>

<file path=xl/sharedStrings.xml><?xml version="1.0" encoding="utf-8"?>
<sst xmlns="http://schemas.openxmlformats.org/spreadsheetml/2006/main" count="28" uniqueCount="14">
  <si>
    <t>O1</t>
  </si>
  <si>
    <t>O2</t>
  </si>
  <si>
    <t>O3</t>
  </si>
  <si>
    <t>D1</t>
  </si>
  <si>
    <t>D2</t>
  </si>
  <si>
    <t>DF</t>
  </si>
  <si>
    <t>Recursos
 disponibles</t>
  </si>
  <si>
    <t>Recursos
 sin usar</t>
  </si>
  <si>
    <t>Demanda</t>
  </si>
  <si>
    <t>Demanda 
pendiente</t>
  </si>
  <si>
    <t>Total recursos</t>
  </si>
  <si>
    <t>Total demanda</t>
  </si>
  <si>
    <t>M</t>
  </si>
  <si>
    <t>Coste: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</si>
</sst>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ont="1" applyBorder="1"/>
    <xf numFmtId="0" fontId="0" fillId="2" borderId="0" xfId="0" applyFill="1" applyBorder="1" applyAlignment="1">
      <alignment horizontal="center" vertical="center"/>
    </xf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B64F-0009-4317-AC24-782AF6ED46D4}">
  <dimension ref="A1:L18"/>
  <sheetViews>
    <sheetView tabSelected="1" workbookViewId="0">
      <selection activeCell="C14" sqref="C14"/>
    </sheetView>
  </sheetViews>
  <sheetFormatPr baseColWidth="10" defaultRowHeight="14.4" x14ac:dyDescent="0.3"/>
  <cols>
    <col min="5" max="5" width="11" customWidth="1"/>
    <col min="11" max="11" width="13.6640625" customWidth="1"/>
  </cols>
  <sheetData>
    <row r="1" spans="1:12" ht="35.4" customHeight="1" x14ac:dyDescent="0.3">
      <c r="A1" s="1"/>
      <c r="B1" s="2" t="s">
        <v>3</v>
      </c>
      <c r="C1" s="2"/>
      <c r="D1" s="2" t="s">
        <v>4</v>
      </c>
      <c r="E1" s="2"/>
      <c r="F1" s="2" t="s">
        <v>5</v>
      </c>
      <c r="G1" s="2"/>
      <c r="H1" s="7" t="s">
        <v>6</v>
      </c>
      <c r="I1" s="7" t="s">
        <v>7</v>
      </c>
    </row>
    <row r="2" spans="1:12" x14ac:dyDescent="0.3">
      <c r="A2" s="1" t="s">
        <v>0</v>
      </c>
      <c r="B2" s="3">
        <v>25</v>
      </c>
      <c r="C2" s="3">
        <v>575</v>
      </c>
      <c r="D2" s="3" t="s">
        <v>12</v>
      </c>
      <c r="E2" s="3">
        <v>0</v>
      </c>
      <c r="F2" s="3">
        <v>0</v>
      </c>
      <c r="G2" s="8">
        <v>125</v>
      </c>
      <c r="H2" s="4">
        <v>700</v>
      </c>
      <c r="I2" s="4">
        <f>H2-C2-E2-G2</f>
        <v>0</v>
      </c>
    </row>
    <row r="3" spans="1:12" x14ac:dyDescent="0.3">
      <c r="A3" s="1" t="s">
        <v>1</v>
      </c>
      <c r="B3" s="3">
        <v>30</v>
      </c>
      <c r="C3" s="3">
        <v>25</v>
      </c>
      <c r="D3" s="3">
        <v>50</v>
      </c>
      <c r="E3" s="3">
        <v>375</v>
      </c>
      <c r="F3" s="3">
        <v>0</v>
      </c>
      <c r="G3" s="4">
        <v>0</v>
      </c>
      <c r="H3" s="4">
        <v>400</v>
      </c>
      <c r="I3" s="4">
        <f t="shared" ref="I3:I4" si="0">H3-C3-E3-G3</f>
        <v>0</v>
      </c>
      <c r="K3" s="4" t="s">
        <v>10</v>
      </c>
      <c r="L3" s="4">
        <f>SUM(H2:H4)</f>
        <v>1475</v>
      </c>
    </row>
    <row r="4" spans="1:12" x14ac:dyDescent="0.3">
      <c r="A4" s="1" t="s">
        <v>2</v>
      </c>
      <c r="B4" s="3">
        <v>22</v>
      </c>
      <c r="C4" s="3">
        <v>0</v>
      </c>
      <c r="D4" s="3">
        <v>18</v>
      </c>
      <c r="E4" s="3">
        <v>375</v>
      </c>
      <c r="F4" s="3">
        <v>0</v>
      </c>
      <c r="G4" s="4">
        <v>0</v>
      </c>
      <c r="H4" s="4">
        <v>375</v>
      </c>
      <c r="I4" s="4">
        <f t="shared" si="0"/>
        <v>0</v>
      </c>
      <c r="K4" s="4" t="s">
        <v>11</v>
      </c>
      <c r="L4" s="4">
        <f>SUM(B5:G5)</f>
        <v>1475</v>
      </c>
    </row>
    <row r="5" spans="1:12" x14ac:dyDescent="0.3">
      <c r="A5" s="1" t="s">
        <v>8</v>
      </c>
      <c r="B5" s="5">
        <v>600</v>
      </c>
      <c r="C5" s="5"/>
      <c r="D5" s="5">
        <v>750</v>
      </c>
      <c r="E5" s="5"/>
      <c r="F5" s="6">
        <v>125</v>
      </c>
      <c r="G5" s="6"/>
    </row>
    <row r="6" spans="1:12" ht="28.8" x14ac:dyDescent="0.3">
      <c r="A6" s="7" t="s">
        <v>9</v>
      </c>
      <c r="B6" s="5">
        <f>B5-C2-C3-C4</f>
        <v>0</v>
      </c>
      <c r="C6" s="5"/>
      <c r="D6" s="5">
        <f t="shared" ref="D6" si="1">D5-E2-E3-E4</f>
        <v>0</v>
      </c>
      <c r="E6" s="5"/>
      <c r="F6" s="5">
        <f t="shared" ref="F6" si="2">F5-G2-G3-G4</f>
        <v>0</v>
      </c>
      <c r="G6" s="5"/>
    </row>
    <row r="8" spans="1:12" x14ac:dyDescent="0.3">
      <c r="A8" s="9" t="s">
        <v>13</v>
      </c>
      <c r="B8" s="10">
        <f>SUMPRODUCT(B2:B4,C2:C4)+SUMPRODUCT(D3:D4,E3:E4)+SUMPRODUCT(F2:F4,G2:G4)</f>
        <v>40625</v>
      </c>
    </row>
    <row r="9" spans="1:12" x14ac:dyDescent="0.3">
      <c r="C9" s="11"/>
    </row>
    <row r="11" spans="1:12" ht="28.8" x14ac:dyDescent="0.3">
      <c r="A11" s="1"/>
      <c r="B11" s="2" t="s">
        <v>3</v>
      </c>
      <c r="C11" s="2"/>
      <c r="D11" s="2" t="s">
        <v>4</v>
      </c>
      <c r="E11" s="2"/>
      <c r="F11" s="2" t="s">
        <v>5</v>
      </c>
      <c r="G11" s="2"/>
      <c r="H11" s="7" t="s">
        <v>6</v>
      </c>
      <c r="I11" s="7" t="s">
        <v>7</v>
      </c>
    </row>
    <row r="12" spans="1:12" x14ac:dyDescent="0.3">
      <c r="A12" s="1" t="s">
        <v>0</v>
      </c>
      <c r="B12" s="3">
        <v>25</v>
      </c>
      <c r="C12" s="3">
        <v>575</v>
      </c>
      <c r="D12" s="3" t="s">
        <v>12</v>
      </c>
      <c r="E12" s="3">
        <v>0</v>
      </c>
      <c r="F12" s="3">
        <v>0</v>
      </c>
      <c r="G12" s="8">
        <v>125</v>
      </c>
      <c r="H12" s="4">
        <v>700</v>
      </c>
      <c r="I12" s="4">
        <f>H12-C12-E12-G12</f>
        <v>0</v>
      </c>
    </row>
    <row r="13" spans="1:12" x14ac:dyDescent="0.3">
      <c r="A13" s="1" t="s">
        <v>1</v>
      </c>
      <c r="B13" s="3">
        <v>30</v>
      </c>
      <c r="C13" s="3">
        <v>25</v>
      </c>
      <c r="D13" s="3">
        <v>50</v>
      </c>
      <c r="E13" s="3">
        <v>375</v>
      </c>
      <c r="F13" s="3">
        <v>0</v>
      </c>
      <c r="G13" s="4">
        <v>0</v>
      </c>
      <c r="H13" s="4">
        <v>400</v>
      </c>
      <c r="I13" s="4">
        <f t="shared" ref="I13:I14" si="3">H13-C13-E13-G13</f>
        <v>0</v>
      </c>
      <c r="K13" s="4" t="s">
        <v>10</v>
      </c>
      <c r="L13" s="4">
        <f>SUM(H12:H14)</f>
        <v>1475</v>
      </c>
    </row>
    <row r="14" spans="1:12" x14ac:dyDescent="0.3">
      <c r="A14" s="1" t="s">
        <v>2</v>
      </c>
      <c r="B14" s="3">
        <v>22</v>
      </c>
      <c r="C14" s="3">
        <v>0</v>
      </c>
      <c r="D14" s="3">
        <v>18</v>
      </c>
      <c r="E14" s="3">
        <v>375</v>
      </c>
      <c r="F14" s="3">
        <v>0</v>
      </c>
      <c r="G14" s="4">
        <v>0</v>
      </c>
      <c r="H14" s="4">
        <v>375</v>
      </c>
      <c r="I14" s="4">
        <f t="shared" si="3"/>
        <v>0</v>
      </c>
      <c r="K14" s="4" t="s">
        <v>11</v>
      </c>
      <c r="L14" s="4">
        <f>SUM(B15:G15)</f>
        <v>1475</v>
      </c>
    </row>
    <row r="15" spans="1:12" x14ac:dyDescent="0.3">
      <c r="A15" s="1" t="s">
        <v>8</v>
      </c>
      <c r="B15" s="5">
        <v>600</v>
      </c>
      <c r="C15" s="5"/>
      <c r="D15" s="5">
        <v>750</v>
      </c>
      <c r="E15" s="5"/>
      <c r="F15" s="6">
        <v>125</v>
      </c>
      <c r="G15" s="6"/>
    </row>
    <row r="16" spans="1:12" ht="28.8" x14ac:dyDescent="0.3">
      <c r="A16" s="7" t="s">
        <v>9</v>
      </c>
      <c r="B16" s="5">
        <f>B15-C12-C13-C14</f>
        <v>0</v>
      </c>
      <c r="C16" s="5"/>
      <c r="D16" s="5">
        <f t="shared" ref="D16" si="4">D15-E12-E13-E14</f>
        <v>0</v>
      </c>
      <c r="E16" s="5"/>
      <c r="F16" s="5">
        <f t="shared" ref="F16" si="5">F15-G12-G13-G14</f>
        <v>0</v>
      </c>
      <c r="G16" s="5"/>
    </row>
    <row r="18" spans="1:2" x14ac:dyDescent="0.3">
      <c r="A18" s="9" t="s">
        <v>13</v>
      </c>
      <c r="B18" s="10">
        <f>SUMPRODUCT(B12:B14,C12:C14)+SUMPRODUCT(D13:D14,E13:E14)+SUMPRODUCT(F12:F14,G12:G14)</f>
        <v>40625</v>
      </c>
    </row>
  </sheetData>
  <mergeCells count="18">
    <mergeCell ref="B16:C16"/>
    <mergeCell ref="D16:E16"/>
    <mergeCell ref="F16:G16"/>
    <mergeCell ref="B11:C11"/>
    <mergeCell ref="D11:E11"/>
    <mergeCell ref="F11:G11"/>
    <mergeCell ref="B15:C15"/>
    <mergeCell ref="D15:E15"/>
    <mergeCell ref="F15:G15"/>
    <mergeCell ref="B1:C1"/>
    <mergeCell ref="D1:E1"/>
    <mergeCell ref="F1:G1"/>
    <mergeCell ref="B5:C5"/>
    <mergeCell ref="D5:E5"/>
    <mergeCell ref="B6:C6"/>
    <mergeCell ref="D6:E6"/>
    <mergeCell ref="F6:G6"/>
    <mergeCell ref="F5:G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278007FC576746A92927341204C3F1" ma:contentTypeVersion="12" ma:contentTypeDescription="Ein neues Dokument erstellen." ma:contentTypeScope="" ma:versionID="8ddd72565b2b1152aaf353bb04ee186e">
  <xsd:schema xmlns:xsd="http://www.w3.org/2001/XMLSchema" xmlns:xs="http://www.w3.org/2001/XMLSchema" xmlns:p="http://schemas.microsoft.com/office/2006/metadata/properties" xmlns:ns3="b12f0e1c-1f43-4c01-a605-1f76b41d073b" xmlns:ns4="a51b56c9-eae5-4e77-ab18-6eeee7e732f1" targetNamespace="http://schemas.microsoft.com/office/2006/metadata/properties" ma:root="true" ma:fieldsID="719772044a776500911295379e3b274c" ns3:_="" ns4:_="">
    <xsd:import namespace="b12f0e1c-1f43-4c01-a605-1f76b41d073b"/>
    <xsd:import namespace="a51b56c9-eae5-4e77-ab18-6eeee7e732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f0e1c-1f43-4c01-a605-1f76b41d07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b56c9-eae5-4e77-ab18-6eeee7e732f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D984DB-9DEE-42C5-B31C-D48E9FBD7E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2f0e1c-1f43-4c01-a605-1f76b41d073b"/>
    <ds:schemaRef ds:uri="a51b56c9-eae5-4e77-ab18-6eeee7e732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20CBDE-E66C-4167-90B7-E73474843D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E825F9-99FF-4869-99B1-490C4187AE0E}">
  <ds:schemaRefs>
    <ds:schemaRef ds:uri="http://purl.org/dc/dcmitype/"/>
    <ds:schemaRef ds:uri="b12f0e1c-1f43-4c01-a605-1f76b41d073b"/>
    <ds:schemaRef ds:uri="a51b56c9-eae5-4e77-ab18-6eeee7e732f1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akalis.local</dc:creator>
  <cp:lastModifiedBy>Kalis, Alexander</cp:lastModifiedBy>
  <dcterms:created xsi:type="dcterms:W3CDTF">2023-01-10T09:40:15Z</dcterms:created>
  <dcterms:modified xsi:type="dcterms:W3CDTF">2023-01-10T11:56:34Z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0x01010090278007FC576746A92927341204C3F1</vt:lpwstr>
  </property>
</Properties>
</file>