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tekniker-my.sharepoint.com/personal/akalis_tekniker_es/Documents/UDIMA/Cursos/ProcIngFabricacion/AEC/AEC1/"/>
    </mc:Choice>
  </mc:AlternateContent>
  <xr:revisionPtr revIDLastSave="129" documentId="8_{E4CFF81F-DB87-4A93-BA6E-D7B858319E83}" xr6:coauthVersionLast="47" xr6:coauthVersionMax="47" xr10:uidLastSave="{37B6082C-A7B1-4F21-AE6D-7112ACC7CCE6}"/>
  <bookViews>
    <workbookView xWindow="0" yWindow="450" windowWidth="21525" windowHeight="21150" activeTab="4" xr2:uid="{C2A967F0-F460-42D1-9DF4-061837960695}"/>
  </bookViews>
  <sheets>
    <sheet name="Sheet1" sheetId="1" r:id="rId1"/>
    <sheet name="Pieza" sheetId="2" r:id="rId2"/>
    <sheet name="Mazarota" sheetId="3" r:id="rId3"/>
    <sheet name="Chapa" sheetId="4" r:id="rId4"/>
    <sheet name="Estirado (3)" sheetId="7" r:id="rId5"/>
    <sheet name="Estirado (2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B12" i="7"/>
  <c r="B8" i="7"/>
  <c r="B9" i="7" s="1"/>
  <c r="B10" i="6"/>
  <c r="B12" i="6"/>
  <c r="B13" i="6"/>
  <c r="B8" i="6"/>
  <c r="B9" i="6" s="1"/>
  <c r="H8" i="4"/>
  <c r="H7" i="4"/>
  <c r="F7" i="4"/>
  <c r="F8" i="4"/>
  <c r="F6" i="4"/>
  <c r="F5" i="4"/>
  <c r="F4" i="4"/>
  <c r="F3" i="4"/>
  <c r="F2" i="4"/>
  <c r="F1" i="4"/>
  <c r="B5" i="3"/>
  <c r="B4" i="3"/>
  <c r="D1" i="3"/>
  <c r="B3" i="3"/>
  <c r="F5" i="2"/>
  <c r="F6" i="2"/>
  <c r="D5" i="2"/>
  <c r="B5" i="2"/>
  <c r="D4" i="2"/>
  <c r="B4" i="2"/>
  <c r="F4" i="2" s="1"/>
  <c r="B10" i="1"/>
  <c r="B9" i="1"/>
  <c r="B8" i="1"/>
  <c r="B11" i="7" l="1"/>
  <c r="B10" i="7" s="1"/>
  <c r="B14" i="7" s="1"/>
  <c r="B11" i="6"/>
  <c r="B14" i="6"/>
</calcChain>
</file>

<file path=xl/sharedStrings.xml><?xml version="1.0" encoding="utf-8"?>
<sst xmlns="http://schemas.openxmlformats.org/spreadsheetml/2006/main" count="105" uniqueCount="70">
  <si>
    <t>Coeficiente de seguridad</t>
  </si>
  <si>
    <t xml:space="preserve">Coef. Contraccion Zamak </t>
  </si>
  <si>
    <t>Coef Constante Molde pieza</t>
  </si>
  <si>
    <t>Coef Constante molde Mazar</t>
  </si>
  <si>
    <t>Exp n</t>
  </si>
  <si>
    <t>D mazarota cilindrica</t>
  </si>
  <si>
    <t>H mazarota cilindrica</t>
  </si>
  <si>
    <t xml:space="preserve"> min/cm^2</t>
  </si>
  <si>
    <t>cm</t>
  </si>
  <si>
    <t>cm^3</t>
  </si>
  <si>
    <t>cm^2</t>
  </si>
  <si>
    <t>TTSpieza</t>
  </si>
  <si>
    <t>min</t>
  </si>
  <si>
    <t>Vm</t>
  </si>
  <si>
    <t>Vol mazarota</t>
  </si>
  <si>
    <t>A mazarota</t>
  </si>
  <si>
    <t>Lado</t>
  </si>
  <si>
    <t>Cilindro</t>
  </si>
  <si>
    <t>Cubo</t>
  </si>
  <si>
    <t>Caras</t>
  </si>
  <si>
    <t>Radio</t>
  </si>
  <si>
    <t>Altura</t>
  </si>
  <si>
    <t>Volumen total</t>
  </si>
  <si>
    <t>Pieza</t>
  </si>
  <si>
    <t>Area total</t>
  </si>
  <si>
    <t>TTS</t>
  </si>
  <si>
    <t>Area</t>
  </si>
  <si>
    <t>TTSseg</t>
  </si>
  <si>
    <t>Material</t>
  </si>
  <si>
    <t>Acero de bajo % C</t>
  </si>
  <si>
    <t>Coeficiente de resistencia K</t>
  </si>
  <si>
    <t>Coef Endurecimiento por Deformacion</t>
  </si>
  <si>
    <t>Maquina</t>
  </si>
  <si>
    <t>Radio rodillos</t>
  </si>
  <si>
    <t>Velocidad rotacion</t>
  </si>
  <si>
    <t>mm</t>
  </si>
  <si>
    <t>rpm</t>
  </si>
  <si>
    <t>MPa</t>
  </si>
  <si>
    <t>Coef rozamiento con acer</t>
  </si>
  <si>
    <t>Reduccion de espesor</t>
  </si>
  <si>
    <t>Deformacion real x lamin</t>
  </si>
  <si>
    <t>Tension de fluencia</t>
  </si>
  <si>
    <t>Longitud del arco contacto</t>
  </si>
  <si>
    <t>Fuerza rodillo</t>
  </si>
  <si>
    <t>Momento torsor rodillo</t>
  </si>
  <si>
    <t>Potencia maquina</t>
  </si>
  <si>
    <t>Potencia rodillo</t>
  </si>
  <si>
    <t>Espesor innicial</t>
  </si>
  <si>
    <t>Espesor final</t>
  </si>
  <si>
    <t>Ancho</t>
  </si>
  <si>
    <t>m</t>
  </si>
  <si>
    <t>Kn</t>
  </si>
  <si>
    <t>Mpa</t>
  </si>
  <si>
    <t>Nm</t>
  </si>
  <si>
    <t>KW</t>
  </si>
  <si>
    <t>CV</t>
  </si>
  <si>
    <t>Do</t>
  </si>
  <si>
    <t>Df</t>
  </si>
  <si>
    <t>Ang</t>
  </si>
  <si>
    <t>deg</t>
  </si>
  <si>
    <t>K</t>
  </si>
  <si>
    <t>n</t>
  </si>
  <si>
    <t>Rozamiento</t>
  </si>
  <si>
    <t>deformacion real</t>
  </si>
  <si>
    <t>tension fluencia media</t>
  </si>
  <si>
    <t>Tension de estirado</t>
  </si>
  <si>
    <t>Ke</t>
  </si>
  <si>
    <t>L</t>
  </si>
  <si>
    <t>Dm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</si>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</sst>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C709-52A9-440D-8104-9B47AA6ED859}">
  <dimension ref="A1:F10"/>
  <sheetViews>
    <sheetView workbookViewId="0">
      <selection activeCell="B2" sqref="B2"/>
    </sheetView>
  </sheetViews>
  <sheetFormatPr defaultRowHeight="15" x14ac:dyDescent="0.25"/>
  <cols>
    <col min="1" max="1" width="27.42578125" customWidth="1"/>
    <col min="2" max="2" width="16.140625" customWidth="1"/>
  </cols>
  <sheetData>
    <row r="1" spans="1:6" x14ac:dyDescent="0.25">
      <c r="A1" t="s">
        <v>0</v>
      </c>
      <c r="B1" s="1">
        <v>0.15</v>
      </c>
      <c r="C1">
        <v>1.1499999999999999</v>
      </c>
    </row>
    <row r="2" spans="1:6" x14ac:dyDescent="0.25">
      <c r="A2" t="s">
        <v>1</v>
      </c>
      <c r="B2" s="3">
        <v>1.17E-2</v>
      </c>
    </row>
    <row r="3" spans="1:6" x14ac:dyDescent="0.25">
      <c r="A3" t="s">
        <v>2</v>
      </c>
      <c r="B3">
        <v>2.5</v>
      </c>
      <c r="C3" t="s">
        <v>7</v>
      </c>
    </row>
    <row r="4" spans="1:6" x14ac:dyDescent="0.25">
      <c r="A4" t="s">
        <v>3</v>
      </c>
      <c r="B4">
        <v>4.3</v>
      </c>
      <c r="C4" t="s">
        <v>7</v>
      </c>
    </row>
    <row r="5" spans="1:6" x14ac:dyDescent="0.25">
      <c r="A5" t="s">
        <v>4</v>
      </c>
      <c r="B5">
        <v>2</v>
      </c>
      <c r="F5">
        <v>452</v>
      </c>
    </row>
    <row r="6" spans="1:6" x14ac:dyDescent="0.25">
      <c r="A6" t="s">
        <v>5</v>
      </c>
      <c r="B6">
        <v>6</v>
      </c>
      <c r="C6" t="s">
        <v>8</v>
      </c>
    </row>
    <row r="7" spans="1:6" x14ac:dyDescent="0.25">
      <c r="A7" t="s">
        <v>6</v>
      </c>
      <c r="B7">
        <v>25</v>
      </c>
      <c r="C7" t="s">
        <v>8</v>
      </c>
    </row>
    <row r="8" spans="1:6" x14ac:dyDescent="0.25">
      <c r="A8" t="s">
        <v>14</v>
      </c>
      <c r="B8">
        <f>((B6/2)^2)*PI()*B7</f>
        <v>706.85834705770344</v>
      </c>
      <c r="C8" t="s">
        <v>9</v>
      </c>
      <c r="D8" s="2"/>
    </row>
    <row r="9" spans="1:6" x14ac:dyDescent="0.25">
      <c r="A9" t="s">
        <v>15</v>
      </c>
      <c r="B9">
        <f>2*PI()*(B6/2)*(B6/2+B7)</f>
        <v>527.78756580308527</v>
      </c>
      <c r="C9" t="s">
        <v>10</v>
      </c>
    </row>
    <row r="10" spans="1:6" x14ac:dyDescent="0.25">
      <c r="A10" t="s">
        <v>11</v>
      </c>
      <c r="B10">
        <f>B3*(B8/B9)^B5</f>
        <v>4.4842155612244898</v>
      </c>
      <c r="C10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303E-5922-490E-A6B1-654AF47546EF}">
  <dimension ref="A1:F6"/>
  <sheetViews>
    <sheetView workbookViewId="0">
      <selection activeCell="F6" sqref="F6"/>
    </sheetView>
  </sheetViews>
  <sheetFormatPr defaultRowHeight="15" x14ac:dyDescent="0.25"/>
  <cols>
    <col min="1" max="1" width="13.5703125" customWidth="1"/>
    <col min="2" max="2" width="11.7109375" customWidth="1"/>
    <col min="3" max="3" width="13.5703125" customWidth="1"/>
    <col min="5" max="5" width="15.28515625" customWidth="1"/>
  </cols>
  <sheetData>
    <row r="1" spans="1:6" x14ac:dyDescent="0.25">
      <c r="A1" t="s">
        <v>18</v>
      </c>
      <c r="C1" t="s">
        <v>17</v>
      </c>
      <c r="E1" t="s">
        <v>23</v>
      </c>
    </row>
    <row r="2" spans="1:6" x14ac:dyDescent="0.25">
      <c r="A2" t="s">
        <v>16</v>
      </c>
      <c r="B2">
        <v>10</v>
      </c>
      <c r="C2" t="s">
        <v>20</v>
      </c>
      <c r="D2">
        <v>3</v>
      </c>
    </row>
    <row r="3" spans="1:6" x14ac:dyDescent="0.25">
      <c r="A3" t="s">
        <v>19</v>
      </c>
      <c r="B3">
        <v>6</v>
      </c>
      <c r="C3" t="s">
        <v>21</v>
      </c>
      <c r="D3">
        <v>1</v>
      </c>
    </row>
    <row r="4" spans="1:6" x14ac:dyDescent="0.25">
      <c r="A4" t="s">
        <v>22</v>
      </c>
      <c r="B4">
        <f>B2^3</f>
        <v>1000</v>
      </c>
      <c r="C4" t="s">
        <v>22</v>
      </c>
      <c r="D4">
        <f>D2^2*PI()*D3</f>
        <v>28.274333882308138</v>
      </c>
      <c r="E4" t="s">
        <v>22</v>
      </c>
      <c r="F4">
        <f>D4+B4</f>
        <v>1028.2743338823082</v>
      </c>
    </row>
    <row r="5" spans="1:6" x14ac:dyDescent="0.25">
      <c r="A5" t="s">
        <v>24</v>
      </c>
      <c r="B5">
        <f>B2^2*B3</f>
        <v>600</v>
      </c>
      <c r="C5" t="s">
        <v>24</v>
      </c>
      <c r="D5">
        <f>2*PI()*D2*D3+2*PI()*D2^2-PI()*D2^2</f>
        <v>47.123889803846893</v>
      </c>
      <c r="E5" t="s">
        <v>24</v>
      </c>
      <c r="F5">
        <f>D5+B5-PI()*D2^Sheet1!B5</f>
        <v>618.84955592153869</v>
      </c>
    </row>
    <row r="6" spans="1:6" x14ac:dyDescent="0.25">
      <c r="E6" t="s">
        <v>25</v>
      </c>
      <c r="F6">
        <f>Sheet1!B3*(F4/F5)^2</f>
        <v>6.9022046662052317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A6AB-7739-44D3-A668-97C27674BB53}">
  <dimension ref="A1:D5"/>
  <sheetViews>
    <sheetView topLeftCell="A2" workbookViewId="0">
      <selection activeCell="F56" sqref="F55:F56"/>
    </sheetView>
  </sheetViews>
  <sheetFormatPr defaultRowHeight="15" x14ac:dyDescent="0.25"/>
  <sheetData>
    <row r="1" spans="1:4" x14ac:dyDescent="0.25">
      <c r="A1" t="s">
        <v>20</v>
      </c>
      <c r="B1">
        <v>3</v>
      </c>
      <c r="C1" t="s">
        <v>26</v>
      </c>
      <c r="D1">
        <f>2*PI()*B1*B2+2*PI()*B1^2</f>
        <v>527.78756580308527</v>
      </c>
    </row>
    <row r="2" spans="1:4" x14ac:dyDescent="0.25">
      <c r="A2" t="s">
        <v>21</v>
      </c>
      <c r="B2">
        <v>25</v>
      </c>
    </row>
    <row r="3" spans="1:4" x14ac:dyDescent="0.25">
      <c r="A3" t="s">
        <v>13</v>
      </c>
      <c r="B3">
        <f>(B1^2*PI()*B2)-(Sheet1!B2*(Pieza!F4+Mazarota!B1^2*B2*PI()))</f>
        <v>686.55729469070525</v>
      </c>
    </row>
    <row r="4" spans="1:4" x14ac:dyDescent="0.25">
      <c r="A4" t="s">
        <v>25</v>
      </c>
      <c r="B4">
        <f>Sheet1!B4*(B3/D1)^2</f>
        <v>7.2761847635847925</v>
      </c>
    </row>
    <row r="5" spans="1:4" x14ac:dyDescent="0.25">
      <c r="A5" t="s">
        <v>27</v>
      </c>
      <c r="B5">
        <f>B4*(1+0.15)</f>
        <v>8.3676124781225099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6EC5-2C02-44DC-933A-6A710EC7A83E}">
  <dimension ref="A1:I11"/>
  <sheetViews>
    <sheetView workbookViewId="0">
      <selection activeCell="E29" sqref="E29"/>
    </sheetView>
  </sheetViews>
  <sheetFormatPr defaultRowHeight="15" x14ac:dyDescent="0.25"/>
  <cols>
    <col min="1" max="1" width="37" customWidth="1"/>
    <col min="5" max="5" width="25.42578125" customWidth="1"/>
    <col min="6" max="6" width="10.5703125" customWidth="1"/>
  </cols>
  <sheetData>
    <row r="1" spans="1:9" x14ac:dyDescent="0.25">
      <c r="A1" t="s">
        <v>28</v>
      </c>
      <c r="E1" t="s">
        <v>39</v>
      </c>
      <c r="F1">
        <f>B9-B10</f>
        <v>1.5</v>
      </c>
      <c r="G1" t="s">
        <v>35</v>
      </c>
    </row>
    <row r="2" spans="1:9" x14ac:dyDescent="0.25">
      <c r="A2" t="s">
        <v>29</v>
      </c>
      <c r="E2" t="s">
        <v>40</v>
      </c>
      <c r="F2">
        <f>LN(B9/B10)</f>
        <v>0.69314718055994529</v>
      </c>
    </row>
    <row r="3" spans="1:9" x14ac:dyDescent="0.25">
      <c r="A3" t="s">
        <v>30</v>
      </c>
      <c r="B3">
        <v>500</v>
      </c>
      <c r="C3" t="s">
        <v>37</v>
      </c>
      <c r="E3" t="s">
        <v>41</v>
      </c>
      <c r="F3">
        <f>(B3*F2^B4)/(B4+1)</f>
        <v>364.97772231361142</v>
      </c>
      <c r="G3" t="s">
        <v>52</v>
      </c>
    </row>
    <row r="4" spans="1:9" x14ac:dyDescent="0.25">
      <c r="A4" t="s">
        <v>31</v>
      </c>
      <c r="B4">
        <v>0.25</v>
      </c>
      <c r="E4" t="s">
        <v>42</v>
      </c>
      <c r="F4">
        <f>SQRT(B6*F1)</f>
        <v>21.213203435596427</v>
      </c>
      <c r="G4" t="s">
        <v>35</v>
      </c>
    </row>
    <row r="5" spans="1:9" x14ac:dyDescent="0.25">
      <c r="A5" t="s">
        <v>32</v>
      </c>
      <c r="E5" t="s">
        <v>43</v>
      </c>
      <c r="F5">
        <f>(2/SQRT(3))*F3*F4*B11</f>
        <v>23244.238865940519</v>
      </c>
      <c r="G5" t="s">
        <v>51</v>
      </c>
    </row>
    <row r="6" spans="1:9" x14ac:dyDescent="0.25">
      <c r="A6" t="s">
        <v>33</v>
      </c>
      <c r="B6">
        <v>300</v>
      </c>
      <c r="C6" t="s">
        <v>35</v>
      </c>
      <c r="E6" t="s">
        <v>44</v>
      </c>
      <c r="F6">
        <f>0.5*F5*F4</f>
        <v>246542.3838843967</v>
      </c>
      <c r="G6" t="s">
        <v>53</v>
      </c>
    </row>
    <row r="7" spans="1:9" x14ac:dyDescent="0.25">
      <c r="A7" t="s">
        <v>34</v>
      </c>
      <c r="B7">
        <v>60</v>
      </c>
      <c r="C7" t="s">
        <v>36</v>
      </c>
      <c r="E7" t="s">
        <v>46</v>
      </c>
      <c r="F7">
        <f>F6*B7*2*PI()/1000</f>
        <v>92944.289041168231</v>
      </c>
      <c r="G7" t="s">
        <v>54</v>
      </c>
      <c r="H7">
        <f>F7*1.34</f>
        <v>124545.34731516543</v>
      </c>
      <c r="I7" t="s">
        <v>55</v>
      </c>
    </row>
    <row r="8" spans="1:9" x14ac:dyDescent="0.25">
      <c r="A8" t="s">
        <v>38</v>
      </c>
      <c r="B8">
        <v>0.15</v>
      </c>
      <c r="E8" t="s">
        <v>45</v>
      </c>
      <c r="F8">
        <f>2*F7</f>
        <v>185888.57808233646</v>
      </c>
      <c r="G8" t="s">
        <v>54</v>
      </c>
      <c r="H8">
        <f>F8*1.34</f>
        <v>249090.69463033087</v>
      </c>
      <c r="I8" t="s">
        <v>55</v>
      </c>
    </row>
    <row r="9" spans="1:9" x14ac:dyDescent="0.25">
      <c r="A9" t="s">
        <v>47</v>
      </c>
      <c r="B9">
        <v>3</v>
      </c>
      <c r="C9" t="s">
        <v>35</v>
      </c>
    </row>
    <row r="10" spans="1:9" x14ac:dyDescent="0.25">
      <c r="A10" t="s">
        <v>48</v>
      </c>
      <c r="B10">
        <v>1.5</v>
      </c>
      <c r="C10" t="s">
        <v>35</v>
      </c>
    </row>
    <row r="11" spans="1:9" x14ac:dyDescent="0.25">
      <c r="A11" t="s">
        <v>49</v>
      </c>
      <c r="B11">
        <v>2.6</v>
      </c>
      <c r="C1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8B94-48B8-47C2-BC39-12EAE10EB904}">
  <dimension ref="A1:C14"/>
  <sheetViews>
    <sheetView tabSelected="1" workbookViewId="0">
      <selection activeCell="D21" sqref="D21"/>
    </sheetView>
  </sheetViews>
  <sheetFormatPr defaultRowHeight="15" x14ac:dyDescent="0.25"/>
  <cols>
    <col min="1" max="1" width="36" customWidth="1"/>
  </cols>
  <sheetData>
    <row r="1" spans="1:3" x14ac:dyDescent="0.25">
      <c r="A1" t="s">
        <v>56</v>
      </c>
      <c r="B1">
        <v>2.8</v>
      </c>
      <c r="C1" t="s">
        <v>35</v>
      </c>
    </row>
    <row r="2" spans="1:3" x14ac:dyDescent="0.25">
      <c r="A2" t="s">
        <v>57</v>
      </c>
      <c r="B2">
        <v>2</v>
      </c>
      <c r="C2" t="s">
        <v>35</v>
      </c>
    </row>
    <row r="3" spans="1:3" x14ac:dyDescent="0.25">
      <c r="A3" t="s">
        <v>58</v>
      </c>
      <c r="B3">
        <v>15</v>
      </c>
      <c r="C3" t="s">
        <v>59</v>
      </c>
    </row>
    <row r="4" spans="1:3" x14ac:dyDescent="0.25">
      <c r="A4" t="s">
        <v>60</v>
      </c>
      <c r="B4">
        <v>300</v>
      </c>
      <c r="C4" t="s">
        <v>52</v>
      </c>
    </row>
    <row r="5" spans="1:3" x14ac:dyDescent="0.25">
      <c r="A5" t="s">
        <v>61</v>
      </c>
      <c r="B5">
        <v>0.5</v>
      </c>
    </row>
    <row r="6" spans="1:3" x14ac:dyDescent="0.25">
      <c r="A6" t="s">
        <v>62</v>
      </c>
      <c r="B6">
        <v>6.0000000000000001E-3</v>
      </c>
    </row>
    <row r="8" spans="1:3" x14ac:dyDescent="0.25">
      <c r="A8" t="s">
        <v>63</v>
      </c>
      <c r="B8">
        <f>LN(B1^2/B2^2)</f>
        <v>0.67294447324242568</v>
      </c>
    </row>
    <row r="9" spans="1:3" x14ac:dyDescent="0.25">
      <c r="A9" t="s">
        <v>64</v>
      </c>
      <c r="B9">
        <f>(B4*B8^B5)/(B5+1)</f>
        <v>164.06638573972739</v>
      </c>
    </row>
    <row r="10" spans="1:3" x14ac:dyDescent="0.25">
      <c r="A10" t="s">
        <v>65</v>
      </c>
      <c r="B10">
        <f>B11*B9*B8*(1+(B6/TAN(RADIANS(B3))))</f>
        <v>120.36939285932874</v>
      </c>
    </row>
    <row r="11" spans="1:3" x14ac:dyDescent="0.25">
      <c r="A11" t="s">
        <v>66</v>
      </c>
      <c r="B11">
        <f>0.88+0.12*(B13/B12)</f>
        <v>1.066349712473815</v>
      </c>
    </row>
    <row r="12" spans="1:3" x14ac:dyDescent="0.25">
      <c r="A12" t="s">
        <v>67</v>
      </c>
      <c r="B12">
        <f>(B1-B2)/(2*SIN(RADIANS(B3)))</f>
        <v>1.545481322062509</v>
      </c>
    </row>
    <row r="13" spans="1:3" x14ac:dyDescent="0.25">
      <c r="A13" t="s">
        <v>68</v>
      </c>
      <c r="B13">
        <f>(B1+B2)/2</f>
        <v>2.4</v>
      </c>
    </row>
    <row r="14" spans="1:3" x14ac:dyDescent="0.25">
      <c r="A14" t="s">
        <v>69</v>
      </c>
      <c r="B14">
        <f>B10*PI()</f>
        <v>378.15160032393089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F1A3-61E8-4E66-ABC2-F950E43E6A2B}">
  <dimension ref="A1:C14"/>
  <sheetViews>
    <sheetView workbookViewId="0">
      <selection activeCell="B10" sqref="B10"/>
    </sheetView>
  </sheetViews>
  <sheetFormatPr defaultRowHeight="15" x14ac:dyDescent="0.25"/>
  <cols>
    <col min="1" max="1" width="36" customWidth="1"/>
  </cols>
  <sheetData>
    <row r="1" spans="1:3" x14ac:dyDescent="0.25">
      <c r="A1" t="s">
        <v>56</v>
      </c>
      <c r="B1">
        <v>2.2999999999999998</v>
      </c>
      <c r="C1" t="s">
        <v>35</v>
      </c>
    </row>
    <row r="2" spans="1:3" x14ac:dyDescent="0.25">
      <c r="A2" t="s">
        <v>57</v>
      </c>
      <c r="B2">
        <v>2</v>
      </c>
      <c r="C2" t="s">
        <v>35</v>
      </c>
    </row>
    <row r="3" spans="1:3" x14ac:dyDescent="0.25">
      <c r="A3" t="s">
        <v>58</v>
      </c>
      <c r="B3">
        <v>16</v>
      </c>
      <c r="C3" t="s">
        <v>59</v>
      </c>
    </row>
    <row r="4" spans="1:3" x14ac:dyDescent="0.25">
      <c r="A4" t="s">
        <v>60</v>
      </c>
      <c r="B4">
        <v>315</v>
      </c>
      <c r="C4" t="s">
        <v>52</v>
      </c>
    </row>
    <row r="5" spans="1:3" x14ac:dyDescent="0.25">
      <c r="A5" t="s">
        <v>61</v>
      </c>
      <c r="B5">
        <v>0.5</v>
      </c>
    </row>
    <row r="6" spans="1:3" x14ac:dyDescent="0.25">
      <c r="A6" t="s">
        <v>62</v>
      </c>
      <c r="B6">
        <v>6.0000000000000001E-3</v>
      </c>
    </row>
    <row r="8" spans="1:3" x14ac:dyDescent="0.25">
      <c r="A8" t="s">
        <v>63</v>
      </c>
      <c r="B8">
        <f>LN(B1^2/B2^2)</f>
        <v>0.27952388475031725</v>
      </c>
    </row>
    <row r="9" spans="1:3" x14ac:dyDescent="0.25">
      <c r="A9" t="s">
        <v>64</v>
      </c>
      <c r="B9">
        <f>(B4*B8^B5)/(B5+1)</f>
        <v>111.02703867747256</v>
      </c>
    </row>
    <row r="10" spans="1:3" x14ac:dyDescent="0.25">
      <c r="A10" t="s">
        <v>65</v>
      </c>
      <c r="B10">
        <f>B11*B9*B8*(1+(B6/TAN(RADIANS(B3))))</f>
        <v>42.903313639652104</v>
      </c>
    </row>
    <row r="11" spans="1:3" x14ac:dyDescent="0.25">
      <c r="A11" t="s">
        <v>66</v>
      </c>
      <c r="B11">
        <f>0.88+0.12*(B13/B12)</f>
        <v>1.3540962520052386</v>
      </c>
    </row>
    <row r="12" spans="1:3" x14ac:dyDescent="0.25">
      <c r="A12" t="s">
        <v>67</v>
      </c>
      <c r="B12">
        <f>(B1-B2)/(2*SIN(RADIANS(B3)))</f>
        <v>0.54419329178149478</v>
      </c>
    </row>
    <row r="13" spans="1:3" x14ac:dyDescent="0.25">
      <c r="A13" t="s">
        <v>68</v>
      </c>
      <c r="B13">
        <f>(B1+B2)/2</f>
        <v>2.15</v>
      </c>
    </row>
    <row r="14" spans="1:3" x14ac:dyDescent="0.25">
      <c r="A14" t="s">
        <v>69</v>
      </c>
      <c r="B14">
        <f>B10*PI()</f>
        <v>134.78473494498982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Pieza</vt:lpstr>
      <vt:lpstr>Mazarota</vt:lpstr>
      <vt:lpstr>Chapa</vt:lpstr>
      <vt:lpstr>Estirado (3)</vt:lpstr>
      <vt:lpstr>Estirado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Kalis</dc:creator>
  <cp:lastModifiedBy>Alexander Kalis</cp:lastModifiedBy>
  <dcterms:created xsi:type="dcterms:W3CDTF">2024-10-24T10:13:18Z</dcterms:created>
  <dcterms:modified xsi:type="dcterms:W3CDTF">2024-10-27T17:09:47Z</dcterms:modified>
</cp:coreProperties>
</file>