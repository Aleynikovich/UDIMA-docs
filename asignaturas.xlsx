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fundaciontekniker-my.sharepoint.com/personal/akalis_tekniker_es/Documents/UDIMA/"/>
    </mc:Choice>
  </mc:AlternateContent>
  <xr:revisionPtr revIDLastSave="14" documentId="11_CAC02BB2E8F0B621D14E165D51DE4E7CC39641FA" xr6:coauthVersionLast="47" xr6:coauthVersionMax="47" xr10:uidLastSave="{B00113AB-F26C-410C-B72A-3206D11DFDDA}"/>
  <bookViews>
    <workbookView xWindow="-120" yWindow="330" windowWidth="77040" windowHeight="2139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" i="1" l="1"/>
  <c r="M2" i="1" s="1"/>
  <c r="J2" i="1"/>
  <c r="L2" i="1" l="1"/>
</calcChain>
</file>

<file path=xl/sharedStrings.xml><?xml version="1.0" encoding="utf-8"?>
<sst xmlns="http://schemas.openxmlformats.org/spreadsheetml/2006/main" count="259" uniqueCount="65">
  <si>
    <t>Curso</t>
  </si>
  <si>
    <t>Cod.</t>
  </si>
  <si>
    <t>Asignatura</t>
  </si>
  <si>
    <t>Tipo</t>
  </si>
  <si>
    <t>ECTS</t>
  </si>
  <si>
    <r>
      <rPr>
        <b/>
        <sz val="11"/>
        <color rgb="FFBFBFBF"/>
        <rFont val="Century Gothic"/>
        <family val="2"/>
        <charset val="1"/>
      </rPr>
      <t>1S</t>
    </r>
    <r>
      <rPr>
        <b/>
        <vertAlign val="superscript"/>
        <sz val="8"/>
        <color rgb="FFBFBFBF"/>
        <rFont val="Century Gothic"/>
        <family val="2"/>
        <charset val="1"/>
      </rPr>
      <t>*</t>
    </r>
  </si>
  <si>
    <r>
      <rPr>
        <b/>
        <sz val="11"/>
        <color rgb="FFBFBFBF"/>
        <rFont val="Century Gothic"/>
        <family val="2"/>
        <charset val="1"/>
      </rPr>
      <t>2S</t>
    </r>
    <r>
      <rPr>
        <b/>
        <vertAlign val="superscript"/>
        <sz val="8"/>
        <color rgb="FFBFBFBF"/>
        <rFont val="Century Gothic"/>
        <family val="2"/>
        <charset val="1"/>
      </rPr>
      <t>*</t>
    </r>
  </si>
  <si>
    <t>Aprobado</t>
  </si>
  <si>
    <t>D</t>
  </si>
  <si>
    <t>Creditos aprobados</t>
  </si>
  <si>
    <t>Creditos por aprobar</t>
  </si>
  <si>
    <t>Total</t>
  </si>
  <si>
    <t>Años para graduacion (8 asignaturas por año)</t>
  </si>
  <si>
    <t>1º</t>
  </si>
  <si>
    <t>Expresión Gráfica</t>
  </si>
  <si>
    <t>T</t>
  </si>
  <si>
    <t>X</t>
  </si>
  <si>
    <t>SI</t>
  </si>
  <si>
    <t>E</t>
  </si>
  <si>
    <t>Fundamentos Matemáticos (***)</t>
  </si>
  <si>
    <t>H</t>
  </si>
  <si>
    <t>Fundamentos Físicos</t>
  </si>
  <si>
    <t>Fundamentos de Economía de la Empresa</t>
  </si>
  <si>
    <t>Tecnologías de la Información y de la Comunicación (**)</t>
  </si>
  <si>
    <t>NA</t>
  </si>
  <si>
    <t>Química</t>
  </si>
  <si>
    <t>Ampliación de Fundamentos Matemáticos</t>
  </si>
  <si>
    <t>M</t>
  </si>
  <si>
    <t>Mecánica</t>
  </si>
  <si>
    <t>Microeconomía</t>
  </si>
  <si>
    <t>B</t>
  </si>
  <si>
    <t>Gestión de la Información y del Conocimiento</t>
  </si>
  <si>
    <t>2º</t>
  </si>
  <si>
    <t>Fundamentos de Estadística</t>
  </si>
  <si>
    <t>Matemática Discreta</t>
  </si>
  <si>
    <t>NO</t>
  </si>
  <si>
    <t>Bases de Datos</t>
  </si>
  <si>
    <t>Fundamentos de Electricidad y Electrónica</t>
  </si>
  <si>
    <t>Prevención de Riesgos Laborales</t>
  </si>
  <si>
    <t>Ingeniería de Materiales y Fabricación</t>
  </si>
  <si>
    <t>Sistemas de Gestión de Calidad</t>
  </si>
  <si>
    <t>Organización de la Producción</t>
  </si>
  <si>
    <t>Tecnología Mecánica</t>
  </si>
  <si>
    <t>Fundamentos de Termodinámica y Mecánica de Fluidos</t>
  </si>
  <si>
    <t>3º</t>
  </si>
  <si>
    <t>Automatización Industrial</t>
  </si>
  <si>
    <t>Investigación Operativa</t>
  </si>
  <si>
    <t>Oficina Técnica. Proyectos</t>
  </si>
  <si>
    <t>Procesos e Ingeniería de Fabricación</t>
  </si>
  <si>
    <t>Tecnología Eléctrica</t>
  </si>
  <si>
    <t>Tecnología Energética, Medio Ambiente y Energías Renovables</t>
  </si>
  <si>
    <t>Técnicas de Optimización de Sistemas Industriales</t>
  </si>
  <si>
    <t>Filosofías y Metodologías Industriales</t>
  </si>
  <si>
    <t>Logística</t>
  </si>
  <si>
    <t>Sistemas Integrados de Información Industrial</t>
  </si>
  <si>
    <t>4º</t>
  </si>
  <si>
    <t>Gestión de Proyectos en Ingeniería</t>
  </si>
  <si>
    <t>Organización de Empresas</t>
  </si>
  <si>
    <t>Inglés</t>
  </si>
  <si>
    <t>Redes de Computadores</t>
  </si>
  <si>
    <t>O</t>
  </si>
  <si>
    <t>Fundamentos de Programación</t>
  </si>
  <si>
    <t>Fundamentos de Contabilidad</t>
  </si>
  <si>
    <t>Prácticas en Empresas</t>
  </si>
  <si>
    <t>Trabajo de Fin de 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</si>
</sst>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1"/>
      <color rgb="FFBFBFBF"/>
      <name val="Century Gothic"/>
      <family val="2"/>
      <charset val="1"/>
    </font>
    <font>
      <b/>
      <vertAlign val="superscript"/>
      <sz val="8"/>
      <color rgb="FFBFBFBF"/>
      <name val="Century Gothic"/>
      <family val="2"/>
      <charset val="1"/>
    </font>
    <font>
      <sz val="11"/>
      <color rgb="FFBFBFBF"/>
      <name val="Century Gothic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E2E2E"/>
        <bgColor rgb="FF383838"/>
      </patternFill>
    </fill>
    <fill>
      <patternFill patternType="solid">
        <fgColor rgb="FF1C1C21"/>
        <bgColor rgb="FF2E2E2E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3838"/>
      </bottom>
      <diagonal/>
    </border>
  </borders>
  <cellStyleXfs count="2">
    <xf numFmtId="0" fontId="0" fillId="0" borderId="0"/>
    <xf numFmtId="0" fontId="4" fillId="0" borderId="0" applyBorder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 applyProtection="1">
      <alignment vertical="center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 applyProtection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C1C21"/>
      <rgbColor rgb="FF383838"/>
      <rgbColor rgb="FF993300"/>
      <rgbColor rgb="FF993366"/>
      <rgbColor rgb="FF333399"/>
      <rgbColor rgb="FF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9" totalsRowShown="0">
  <autoFilter ref="A1:I39" xr:uid="{00000000-0009-0000-0100-000001000000}"/>
  <tableColumns count="9">
    <tableColumn id="1" xr3:uid="{00000000-0010-0000-0000-000001000000}" name="Curso"/>
    <tableColumn id="2" xr3:uid="{00000000-0010-0000-0000-000002000000}" name="Cod."/>
    <tableColumn id="3" xr3:uid="{00000000-0010-0000-0000-000003000000}" name="Asignatura"/>
    <tableColumn id="4" xr3:uid="{00000000-0010-0000-0000-000004000000}" name="Tipo"/>
    <tableColumn id="5" xr3:uid="{00000000-0010-0000-0000-000005000000}" name="ECTS"/>
    <tableColumn id="6" xr3:uid="{00000000-0010-0000-0000-000006000000}" name="1S*"/>
    <tableColumn id="7" xr3:uid="{00000000-0010-0000-0000-000007000000}" name="2S*"/>
    <tableColumn id="8" xr3:uid="{00000000-0010-0000-0000-000008000000}" name="Aprobado"/>
    <tableColumn id="9" xr3:uid="{00000000-0010-0000-0000-000009000000}" name="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udima.es/es/bases-de-datos-110.html" TargetMode="External"/><Relationship Id="rId18" Type="http://schemas.openxmlformats.org/officeDocument/2006/relationships/hyperlink" Target="https://www.udima.es/es/organizacion-de-la-produccion.html" TargetMode="External"/><Relationship Id="rId26" Type="http://schemas.openxmlformats.org/officeDocument/2006/relationships/hyperlink" Target="https://www.udima.es/es/tecnologia-energetica-medio-ambiente-energias-renovables.html" TargetMode="External"/><Relationship Id="rId3" Type="http://schemas.openxmlformats.org/officeDocument/2006/relationships/hyperlink" Target="https://www.udima.es/es/fundamentos-fisicos.html" TargetMode="External"/><Relationship Id="rId21" Type="http://schemas.openxmlformats.org/officeDocument/2006/relationships/hyperlink" Target="https://www.udima.es/es/automatizacion-industrial.html" TargetMode="External"/><Relationship Id="rId34" Type="http://schemas.openxmlformats.org/officeDocument/2006/relationships/hyperlink" Target="https://www.udima.es/es/fundamentos-contabilidad-110.html" TargetMode="External"/><Relationship Id="rId7" Type="http://schemas.openxmlformats.org/officeDocument/2006/relationships/hyperlink" Target="https://www.udima.es/es/ampliacion-fundamentos-matematicos.html" TargetMode="External"/><Relationship Id="rId12" Type="http://schemas.openxmlformats.org/officeDocument/2006/relationships/hyperlink" Target="https://www.udima.es/es/matematica-discreta.html" TargetMode="External"/><Relationship Id="rId17" Type="http://schemas.openxmlformats.org/officeDocument/2006/relationships/hyperlink" Target="https://www.udima.es/es/sistemas-gestion-calidad.html" TargetMode="External"/><Relationship Id="rId25" Type="http://schemas.openxmlformats.org/officeDocument/2006/relationships/hyperlink" Target="https://www.udima.es/es/tecnologia-electrica.html" TargetMode="External"/><Relationship Id="rId33" Type="http://schemas.openxmlformats.org/officeDocument/2006/relationships/hyperlink" Target="https://www.udima.es/es/ingles-110.html" TargetMode="External"/><Relationship Id="rId2" Type="http://schemas.openxmlformats.org/officeDocument/2006/relationships/hyperlink" Target="https://www.udima.es/es/fundamentos-matematicos-organizacion-industrial.html" TargetMode="External"/><Relationship Id="rId16" Type="http://schemas.openxmlformats.org/officeDocument/2006/relationships/hyperlink" Target="https://www.udima.es/es/ingenieria-materiales-fabricacion.html" TargetMode="External"/><Relationship Id="rId20" Type="http://schemas.openxmlformats.org/officeDocument/2006/relationships/hyperlink" Target="https://www.udima.es/es/fundamentos-termodinamica-mecanica-fluidos.html" TargetMode="External"/><Relationship Id="rId29" Type="http://schemas.openxmlformats.org/officeDocument/2006/relationships/hyperlink" Target="https://www.udima.es/es/logistica.html" TargetMode="External"/><Relationship Id="rId1" Type="http://schemas.openxmlformats.org/officeDocument/2006/relationships/hyperlink" Target="https://www.udima.es/es/expresion-grafica.html" TargetMode="External"/><Relationship Id="rId6" Type="http://schemas.openxmlformats.org/officeDocument/2006/relationships/hyperlink" Target="https://www.udima.es/es/quimica.html" TargetMode="External"/><Relationship Id="rId11" Type="http://schemas.openxmlformats.org/officeDocument/2006/relationships/hyperlink" Target="https://www.udima.es/es/fundamentos-estadistica-organizacion-industrial.html" TargetMode="External"/><Relationship Id="rId24" Type="http://schemas.openxmlformats.org/officeDocument/2006/relationships/hyperlink" Target="https://www.udima.es/es/procesos-ingenieria-fabricacion.html" TargetMode="External"/><Relationship Id="rId32" Type="http://schemas.openxmlformats.org/officeDocument/2006/relationships/hyperlink" Target="https://www.udima.es/es/organizacion-empresas-110.html" TargetMode="External"/><Relationship Id="rId5" Type="http://schemas.openxmlformats.org/officeDocument/2006/relationships/hyperlink" Target="https://www.udima.es/es/tecnologias-informacion-comunicacion-110.html" TargetMode="External"/><Relationship Id="rId15" Type="http://schemas.openxmlformats.org/officeDocument/2006/relationships/hyperlink" Target="https://www.udima.es/es/prevencio-riesgos-laborales-organizacion-industrial.html" TargetMode="External"/><Relationship Id="rId23" Type="http://schemas.openxmlformats.org/officeDocument/2006/relationships/hyperlink" Target="https://www.udima.es/es/oficina-tecnica-proyectos.html" TargetMode="External"/><Relationship Id="rId28" Type="http://schemas.openxmlformats.org/officeDocument/2006/relationships/hyperlink" Target="https://www.udima.es/es/filosofias-metodologias-industriales.html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www.udima.es/es/gestion-informacion-conocimiento-110.html" TargetMode="External"/><Relationship Id="rId19" Type="http://schemas.openxmlformats.org/officeDocument/2006/relationships/hyperlink" Target="https://www.udima.es/es/tecnologia-mecanica.html" TargetMode="External"/><Relationship Id="rId31" Type="http://schemas.openxmlformats.org/officeDocument/2006/relationships/hyperlink" Target="https://www.udima.es/es/gestion-proyectos-ingenieria.html" TargetMode="External"/><Relationship Id="rId4" Type="http://schemas.openxmlformats.org/officeDocument/2006/relationships/hyperlink" Target="https://www.udima.es/es/fundamentos-economia-empresa.html" TargetMode="External"/><Relationship Id="rId9" Type="http://schemas.openxmlformats.org/officeDocument/2006/relationships/hyperlink" Target="https://www.udima.es/es/microeconomia-110.html" TargetMode="External"/><Relationship Id="rId14" Type="http://schemas.openxmlformats.org/officeDocument/2006/relationships/hyperlink" Target="https://www.udima.es/es/fundamentos-electricidad-electronica.html" TargetMode="External"/><Relationship Id="rId22" Type="http://schemas.openxmlformats.org/officeDocument/2006/relationships/hyperlink" Target="https://www.udima.es/es/investigacion-operativa-110.html" TargetMode="External"/><Relationship Id="rId27" Type="http://schemas.openxmlformats.org/officeDocument/2006/relationships/hyperlink" Target="https://www.udima.es/es/tecnicas-optimizacion-sistemas-industriales.html" TargetMode="External"/><Relationship Id="rId30" Type="http://schemas.openxmlformats.org/officeDocument/2006/relationships/hyperlink" Target="https://www.udima.es/es/sistemas-integrados-informacion-industrial.html" TargetMode="External"/><Relationship Id="rId35" Type="http://schemas.openxmlformats.org/officeDocument/2006/relationships/hyperlink" Target="https://www.udima.es/es/trabajo-fin-grado-IOI.html" TargetMode="External"/><Relationship Id="rId8" Type="http://schemas.openxmlformats.org/officeDocument/2006/relationships/hyperlink" Target="https://www.udima.es/es/mecanic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zoomScale="115" zoomScaleNormal="115" workbookViewId="0">
      <selection activeCell="H37" sqref="H37"/>
    </sheetView>
  </sheetViews>
  <sheetFormatPr defaultColWidth="8.85546875" defaultRowHeight="15"/>
  <cols>
    <col min="1" max="1" width="8.5703125" customWidth="1"/>
    <col min="2" max="2" width="7.7109375" customWidth="1"/>
    <col min="3" max="3" width="84.42578125" customWidth="1"/>
    <col min="4" max="4" width="6.85546875" customWidth="1"/>
    <col min="5" max="5" width="7.42578125" customWidth="1"/>
    <col min="6" max="7" width="5.5703125" customWidth="1"/>
    <col min="8" max="8" width="17.5703125" customWidth="1"/>
    <col min="9" max="9" width="5" customWidth="1"/>
    <col min="10" max="10" width="36.140625" customWidth="1"/>
    <col min="11" max="11" width="26.5703125" customWidth="1"/>
    <col min="13" max="13" width="56.85546875" customWidth="1"/>
  </cols>
  <sheetData>
    <row r="1" spans="1:13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6.5">
      <c r="A2" s="4" t="s">
        <v>13</v>
      </c>
      <c r="B2" s="4">
        <v>1505</v>
      </c>
      <c r="C2" s="5" t="s">
        <v>14</v>
      </c>
      <c r="D2" s="4" t="s">
        <v>15</v>
      </c>
      <c r="E2" s="4">
        <v>6</v>
      </c>
      <c r="F2" s="4" t="s">
        <v>16</v>
      </c>
      <c r="G2" s="4" t="s">
        <v>16</v>
      </c>
      <c r="H2" s="3" t="s">
        <v>17</v>
      </c>
      <c r="I2" s="3" t="s">
        <v>18</v>
      </c>
      <c r="J2" s="6">
        <f>SUMIF(H2:H39,"SI",E2:E39)</f>
        <v>192</v>
      </c>
      <c r="K2" s="6">
        <f>SUMIF(H2:H39,"NO",E2:E39)</f>
        <v>48</v>
      </c>
      <c r="L2" s="6">
        <f>K2+J2</f>
        <v>240</v>
      </c>
      <c r="M2" s="6">
        <f>K2/6/8</f>
        <v>1</v>
      </c>
    </row>
    <row r="3" spans="1:13" ht="16.5">
      <c r="A3" s="7" t="s">
        <v>13</v>
      </c>
      <c r="B3" s="7">
        <v>1506</v>
      </c>
      <c r="C3" s="8" t="s">
        <v>19</v>
      </c>
      <c r="D3" s="7" t="s">
        <v>15</v>
      </c>
      <c r="E3" s="7">
        <v>6</v>
      </c>
      <c r="F3" s="7" t="s">
        <v>16</v>
      </c>
      <c r="G3" s="7" t="s">
        <v>16</v>
      </c>
      <c r="H3" s="9" t="s">
        <v>17</v>
      </c>
      <c r="I3" s="9" t="s">
        <v>20</v>
      </c>
    </row>
    <row r="4" spans="1:13" ht="25.5" customHeight="1">
      <c r="A4" s="4" t="s">
        <v>13</v>
      </c>
      <c r="B4" s="4">
        <v>1507</v>
      </c>
      <c r="C4" s="5" t="s">
        <v>21</v>
      </c>
      <c r="D4" s="4" t="s">
        <v>15</v>
      </c>
      <c r="E4" s="4">
        <v>6</v>
      </c>
      <c r="F4" s="4" t="s">
        <v>16</v>
      </c>
      <c r="G4" s="4" t="s">
        <v>16</v>
      </c>
      <c r="H4" s="9" t="s">
        <v>17</v>
      </c>
      <c r="I4" s="3" t="s">
        <v>20</v>
      </c>
    </row>
    <row r="5" spans="1:13" ht="16.5">
      <c r="A5" s="7" t="s">
        <v>13</v>
      </c>
      <c r="B5" s="7">
        <v>1508</v>
      </c>
      <c r="C5" s="8" t="s">
        <v>22</v>
      </c>
      <c r="D5" s="7" t="s">
        <v>15</v>
      </c>
      <c r="E5" s="7">
        <v>6</v>
      </c>
      <c r="F5" s="7" t="s">
        <v>16</v>
      </c>
      <c r="G5" s="7" t="s">
        <v>16</v>
      </c>
      <c r="H5" s="9" t="s">
        <v>17</v>
      </c>
      <c r="I5" s="9" t="s">
        <v>18</v>
      </c>
    </row>
    <row r="6" spans="1:13" ht="16.5">
      <c r="A6" s="4" t="s">
        <v>13</v>
      </c>
      <c r="B6" s="4">
        <v>1541</v>
      </c>
      <c r="C6" s="5" t="s">
        <v>23</v>
      </c>
      <c r="D6" s="4" t="s">
        <v>15</v>
      </c>
      <c r="E6" s="4">
        <v>6</v>
      </c>
      <c r="F6" s="4" t="s">
        <v>16</v>
      </c>
      <c r="G6" s="4" t="s">
        <v>16</v>
      </c>
      <c r="H6" s="3" t="s">
        <v>17</v>
      </c>
      <c r="I6" s="3" t="s">
        <v>24</v>
      </c>
    </row>
    <row r="7" spans="1:13" ht="16.5">
      <c r="A7" s="7" t="s">
        <v>13</v>
      </c>
      <c r="B7" s="7">
        <v>1510</v>
      </c>
      <c r="C7" s="8" t="s">
        <v>25</v>
      </c>
      <c r="D7" s="7" t="s">
        <v>15</v>
      </c>
      <c r="E7" s="7">
        <v>6</v>
      </c>
      <c r="F7" s="7" t="s">
        <v>16</v>
      </c>
      <c r="G7" s="7" t="s">
        <v>16</v>
      </c>
      <c r="H7" s="9" t="s">
        <v>17</v>
      </c>
      <c r="I7" s="9" t="s">
        <v>20</v>
      </c>
    </row>
    <row r="8" spans="1:13" ht="16.5">
      <c r="A8" s="4" t="s">
        <v>13</v>
      </c>
      <c r="B8" s="4">
        <v>1511</v>
      </c>
      <c r="C8" s="5" t="s">
        <v>26</v>
      </c>
      <c r="D8" s="4" t="s">
        <v>15</v>
      </c>
      <c r="E8" s="4">
        <v>6</v>
      </c>
      <c r="F8" s="4" t="s">
        <v>16</v>
      </c>
      <c r="G8" s="4" t="s">
        <v>16</v>
      </c>
      <c r="H8" s="3" t="s">
        <v>17</v>
      </c>
      <c r="I8" s="3" t="s">
        <v>27</v>
      </c>
    </row>
    <row r="9" spans="1:13" ht="16.5">
      <c r="A9" s="7" t="s">
        <v>13</v>
      </c>
      <c r="B9" s="7">
        <v>1512</v>
      </c>
      <c r="C9" s="8" t="s">
        <v>28</v>
      </c>
      <c r="D9" s="7" t="s">
        <v>15</v>
      </c>
      <c r="E9" s="7">
        <v>6</v>
      </c>
      <c r="F9" s="7" t="s">
        <v>16</v>
      </c>
      <c r="G9" s="7" t="s">
        <v>16</v>
      </c>
      <c r="H9" s="9" t="s">
        <v>17</v>
      </c>
      <c r="I9" s="3" t="s">
        <v>27</v>
      </c>
    </row>
    <row r="10" spans="1:13" ht="16.5">
      <c r="A10" s="4" t="s">
        <v>13</v>
      </c>
      <c r="B10" s="4">
        <v>1074</v>
      </c>
      <c r="C10" s="5" t="s">
        <v>29</v>
      </c>
      <c r="D10" s="4" t="s">
        <v>30</v>
      </c>
      <c r="E10" s="4">
        <v>6</v>
      </c>
      <c r="F10" s="4" t="s">
        <v>16</v>
      </c>
      <c r="G10" s="4" t="s">
        <v>16</v>
      </c>
      <c r="H10" s="3" t="s">
        <v>17</v>
      </c>
      <c r="I10" s="3" t="s">
        <v>18</v>
      </c>
    </row>
    <row r="11" spans="1:13" ht="16.5">
      <c r="A11" s="7" t="s">
        <v>13</v>
      </c>
      <c r="B11" s="7">
        <v>1329</v>
      </c>
      <c r="C11" s="8" t="s">
        <v>31</v>
      </c>
      <c r="D11" s="7" t="s">
        <v>30</v>
      </c>
      <c r="E11" s="7">
        <v>6</v>
      </c>
      <c r="F11" s="7" t="s">
        <v>16</v>
      </c>
      <c r="G11" s="7" t="s">
        <v>16</v>
      </c>
      <c r="H11" s="9" t="s">
        <v>17</v>
      </c>
      <c r="I11" s="3" t="s">
        <v>18</v>
      </c>
    </row>
    <row r="12" spans="1:13" ht="16.5">
      <c r="A12" s="4" t="s">
        <v>32</v>
      </c>
      <c r="B12" s="4">
        <v>1513</v>
      </c>
      <c r="C12" s="5" t="s">
        <v>33</v>
      </c>
      <c r="D12" s="4" t="s">
        <v>15</v>
      </c>
      <c r="E12" s="4">
        <v>6</v>
      </c>
      <c r="F12" s="4" t="s">
        <v>16</v>
      </c>
      <c r="G12" s="4" t="s">
        <v>16</v>
      </c>
      <c r="H12" s="3" t="s">
        <v>17</v>
      </c>
      <c r="I12" s="3" t="s">
        <v>27</v>
      </c>
    </row>
    <row r="13" spans="1:13" ht="16.5">
      <c r="A13" s="7" t="s">
        <v>32</v>
      </c>
      <c r="B13" s="7">
        <v>1514</v>
      </c>
      <c r="C13" s="8" t="s">
        <v>34</v>
      </c>
      <c r="D13" s="7" t="s">
        <v>15</v>
      </c>
      <c r="E13" s="7">
        <v>6</v>
      </c>
      <c r="F13" s="7" t="s">
        <v>16</v>
      </c>
      <c r="G13" s="7" t="s">
        <v>16</v>
      </c>
      <c r="H13" s="9" t="s">
        <v>35</v>
      </c>
      <c r="I13" s="9" t="s">
        <v>20</v>
      </c>
    </row>
    <row r="14" spans="1:13" ht="16.5">
      <c r="A14" s="4" t="s">
        <v>32</v>
      </c>
      <c r="B14" s="4">
        <v>1392</v>
      </c>
      <c r="C14" s="5" t="s">
        <v>36</v>
      </c>
      <c r="D14" s="4" t="s">
        <v>30</v>
      </c>
      <c r="E14" s="4">
        <v>6</v>
      </c>
      <c r="F14" s="4" t="s">
        <v>16</v>
      </c>
      <c r="G14" s="4"/>
      <c r="H14" s="3" t="s">
        <v>17</v>
      </c>
      <c r="I14" s="3" t="s">
        <v>27</v>
      </c>
    </row>
    <row r="15" spans="1:13" ht="16.5">
      <c r="A15" s="7" t="s">
        <v>32</v>
      </c>
      <c r="B15" s="7">
        <v>1515</v>
      </c>
      <c r="C15" s="8" t="s">
        <v>37</v>
      </c>
      <c r="D15" s="7" t="s">
        <v>30</v>
      </c>
      <c r="E15" s="7">
        <v>6</v>
      </c>
      <c r="F15" s="7" t="s">
        <v>16</v>
      </c>
      <c r="G15" s="7"/>
      <c r="H15" s="9" t="s">
        <v>17</v>
      </c>
      <c r="I15" s="3" t="s">
        <v>24</v>
      </c>
    </row>
    <row r="16" spans="1:13" ht="16.5">
      <c r="A16" s="4" t="s">
        <v>32</v>
      </c>
      <c r="B16" s="4">
        <v>1516</v>
      </c>
      <c r="C16" s="5" t="s">
        <v>38</v>
      </c>
      <c r="D16" s="4" t="s">
        <v>30</v>
      </c>
      <c r="E16" s="4">
        <v>6</v>
      </c>
      <c r="F16" s="4" t="s">
        <v>16</v>
      </c>
      <c r="G16" s="4" t="s">
        <v>16</v>
      </c>
      <c r="H16" s="3" t="s">
        <v>17</v>
      </c>
      <c r="I16" s="3" t="s">
        <v>24</v>
      </c>
    </row>
    <row r="17" spans="1:9" ht="16.5">
      <c r="A17" s="7" t="s">
        <v>32</v>
      </c>
      <c r="B17" s="7">
        <v>1517</v>
      </c>
      <c r="C17" s="8" t="s">
        <v>39</v>
      </c>
      <c r="D17" s="7" t="s">
        <v>30</v>
      </c>
      <c r="E17" s="7">
        <v>6</v>
      </c>
      <c r="F17" s="7"/>
      <c r="G17" s="7" t="s">
        <v>16</v>
      </c>
      <c r="H17" s="9" t="s">
        <v>35</v>
      </c>
      <c r="I17" s="9" t="s">
        <v>20</v>
      </c>
    </row>
    <row r="18" spans="1:9" ht="16.5">
      <c r="A18" s="4" t="s">
        <v>32</v>
      </c>
      <c r="B18" s="4">
        <v>1518</v>
      </c>
      <c r="C18" s="5" t="s">
        <v>40</v>
      </c>
      <c r="D18" s="4" t="s">
        <v>30</v>
      </c>
      <c r="E18" s="4">
        <v>6</v>
      </c>
      <c r="F18" s="4"/>
      <c r="G18" s="4" t="s">
        <v>16</v>
      </c>
      <c r="H18" s="3" t="s">
        <v>17</v>
      </c>
      <c r="I18" s="3" t="s">
        <v>24</v>
      </c>
    </row>
    <row r="19" spans="1:9" ht="16.5">
      <c r="A19" s="7" t="s">
        <v>32</v>
      </c>
      <c r="B19" s="7">
        <v>1519</v>
      </c>
      <c r="C19" s="8" t="s">
        <v>41</v>
      </c>
      <c r="D19" s="7" t="s">
        <v>30</v>
      </c>
      <c r="E19" s="7">
        <v>6</v>
      </c>
      <c r="F19" s="7"/>
      <c r="G19" s="7" t="s">
        <v>16</v>
      </c>
      <c r="H19" s="9" t="s">
        <v>17</v>
      </c>
      <c r="I19" s="9" t="s">
        <v>18</v>
      </c>
    </row>
    <row r="20" spans="1:9" ht="16.5">
      <c r="A20" s="4" t="s">
        <v>32</v>
      </c>
      <c r="B20" s="4">
        <v>1520</v>
      </c>
      <c r="C20" s="5" t="s">
        <v>42</v>
      </c>
      <c r="D20" s="4" t="s">
        <v>30</v>
      </c>
      <c r="E20" s="4">
        <v>6</v>
      </c>
      <c r="F20" s="4" t="s">
        <v>16</v>
      </c>
      <c r="G20" s="4" t="s">
        <v>16</v>
      </c>
      <c r="H20" s="3" t="s">
        <v>35</v>
      </c>
      <c r="I20" s="3" t="s">
        <v>27</v>
      </c>
    </row>
    <row r="21" spans="1:9" ht="16.5">
      <c r="A21" s="7" t="s">
        <v>32</v>
      </c>
      <c r="B21" s="7">
        <v>1521</v>
      </c>
      <c r="C21" s="8" t="s">
        <v>43</v>
      </c>
      <c r="D21" s="7" t="s">
        <v>30</v>
      </c>
      <c r="E21" s="7">
        <v>6</v>
      </c>
      <c r="F21" s="7"/>
      <c r="G21" s="7" t="s">
        <v>16</v>
      </c>
      <c r="H21" s="9" t="s">
        <v>35</v>
      </c>
      <c r="I21" s="9" t="s">
        <v>20</v>
      </c>
    </row>
    <row r="22" spans="1:9" ht="16.5">
      <c r="A22" s="4" t="s">
        <v>44</v>
      </c>
      <c r="B22" s="4">
        <v>1522</v>
      </c>
      <c r="C22" s="5" t="s">
        <v>45</v>
      </c>
      <c r="D22" s="4" t="s">
        <v>30</v>
      </c>
      <c r="E22" s="4">
        <v>6</v>
      </c>
      <c r="F22" s="4" t="s">
        <v>16</v>
      </c>
      <c r="G22" s="4"/>
      <c r="H22" s="3" t="s">
        <v>17</v>
      </c>
      <c r="I22" s="3" t="s">
        <v>24</v>
      </c>
    </row>
    <row r="23" spans="1:9" ht="16.5">
      <c r="A23" s="7" t="s">
        <v>44</v>
      </c>
      <c r="B23" s="7">
        <v>1523</v>
      </c>
      <c r="C23" s="8" t="s">
        <v>46</v>
      </c>
      <c r="D23" s="7" t="s">
        <v>30</v>
      </c>
      <c r="E23" s="7">
        <v>6</v>
      </c>
      <c r="F23" s="7" t="s">
        <v>16</v>
      </c>
      <c r="G23" s="7"/>
      <c r="H23" s="9" t="s">
        <v>17</v>
      </c>
      <c r="I23" s="9" t="s">
        <v>18</v>
      </c>
    </row>
    <row r="24" spans="1:9" ht="16.5">
      <c r="A24" s="4" t="s">
        <v>44</v>
      </c>
      <c r="B24" s="4">
        <v>1524</v>
      </c>
      <c r="C24" s="5" t="s">
        <v>47</v>
      </c>
      <c r="D24" s="4" t="s">
        <v>30</v>
      </c>
      <c r="E24" s="4">
        <v>6</v>
      </c>
      <c r="F24" s="4" t="s">
        <v>16</v>
      </c>
      <c r="G24" s="4"/>
      <c r="H24" s="3" t="s">
        <v>17</v>
      </c>
      <c r="I24" s="3" t="s">
        <v>24</v>
      </c>
    </row>
    <row r="25" spans="1:9" ht="16.5">
      <c r="A25" s="7" t="s">
        <v>44</v>
      </c>
      <c r="B25" s="7">
        <v>1525</v>
      </c>
      <c r="C25" s="8" t="s">
        <v>48</v>
      </c>
      <c r="D25" s="7" t="s">
        <v>30</v>
      </c>
      <c r="E25" s="7">
        <v>6</v>
      </c>
      <c r="F25" s="7" t="s">
        <v>16</v>
      </c>
      <c r="G25" s="7"/>
      <c r="H25" s="9" t="s">
        <v>17</v>
      </c>
      <c r="I25" s="9" t="s">
        <v>27</v>
      </c>
    </row>
    <row r="26" spans="1:9" ht="16.5">
      <c r="A26" s="4" t="s">
        <v>44</v>
      </c>
      <c r="B26" s="4">
        <v>1526</v>
      </c>
      <c r="C26" s="5" t="s">
        <v>49</v>
      </c>
      <c r="D26" s="4" t="s">
        <v>30</v>
      </c>
      <c r="E26" s="4">
        <v>6</v>
      </c>
      <c r="F26" s="4" t="s">
        <v>16</v>
      </c>
      <c r="G26" s="4" t="s">
        <v>16</v>
      </c>
      <c r="H26" s="3" t="s">
        <v>35</v>
      </c>
      <c r="I26" s="3" t="s">
        <v>27</v>
      </c>
    </row>
    <row r="27" spans="1:9" ht="18" customHeight="1">
      <c r="A27" s="7" t="s">
        <v>44</v>
      </c>
      <c r="B27" s="7">
        <v>1527</v>
      </c>
      <c r="C27" s="8" t="s">
        <v>50</v>
      </c>
      <c r="D27" s="7" t="s">
        <v>30</v>
      </c>
      <c r="E27" s="7">
        <v>6</v>
      </c>
      <c r="F27" s="7"/>
      <c r="G27" s="7" t="s">
        <v>16</v>
      </c>
      <c r="H27" s="9" t="s">
        <v>17</v>
      </c>
      <c r="I27" s="9" t="s">
        <v>27</v>
      </c>
    </row>
    <row r="28" spans="1:9" ht="16.5">
      <c r="A28" s="4" t="s">
        <v>44</v>
      </c>
      <c r="B28" s="4">
        <v>1528</v>
      </c>
      <c r="C28" s="5" t="s">
        <v>51</v>
      </c>
      <c r="D28" s="4" t="s">
        <v>30</v>
      </c>
      <c r="E28" s="4">
        <v>6</v>
      </c>
      <c r="F28" s="4"/>
      <c r="G28" s="4" t="s">
        <v>16</v>
      </c>
      <c r="H28" s="3" t="s">
        <v>17</v>
      </c>
      <c r="I28" s="9" t="s">
        <v>18</v>
      </c>
    </row>
    <row r="29" spans="1:9" ht="16.5">
      <c r="A29" s="7" t="s">
        <v>44</v>
      </c>
      <c r="B29" s="7">
        <v>1529</v>
      </c>
      <c r="C29" s="8" t="s">
        <v>52</v>
      </c>
      <c r="D29" s="7" t="s">
        <v>30</v>
      </c>
      <c r="E29" s="7">
        <v>6</v>
      </c>
      <c r="F29" s="7"/>
      <c r="G29" s="7" t="s">
        <v>16</v>
      </c>
      <c r="H29" s="9" t="s">
        <v>17</v>
      </c>
      <c r="I29" s="3" t="s">
        <v>24</v>
      </c>
    </row>
    <row r="30" spans="1:9" ht="16.5">
      <c r="A30" s="4" t="s">
        <v>44</v>
      </c>
      <c r="B30" s="4">
        <v>1530</v>
      </c>
      <c r="C30" s="5" t="s">
        <v>53</v>
      </c>
      <c r="D30" s="4" t="s">
        <v>30</v>
      </c>
      <c r="E30" s="4">
        <v>6</v>
      </c>
      <c r="F30" s="4"/>
      <c r="G30" s="4" t="s">
        <v>16</v>
      </c>
      <c r="H30" s="3" t="s">
        <v>17</v>
      </c>
      <c r="I30" s="9" t="s">
        <v>27</v>
      </c>
    </row>
    <row r="31" spans="1:9" ht="16.5">
      <c r="A31" s="7">
        <v>3</v>
      </c>
      <c r="B31" s="7">
        <v>1531</v>
      </c>
      <c r="C31" s="8" t="s">
        <v>54</v>
      </c>
      <c r="D31" s="7" t="s">
        <v>30</v>
      </c>
      <c r="E31" s="7">
        <v>6</v>
      </c>
      <c r="F31" s="7"/>
      <c r="G31" s="7" t="s">
        <v>16</v>
      </c>
      <c r="H31" s="9" t="s">
        <v>17</v>
      </c>
      <c r="I31" s="9" t="s">
        <v>18</v>
      </c>
    </row>
    <row r="32" spans="1:9" ht="16.5">
      <c r="A32" s="4" t="s">
        <v>55</v>
      </c>
      <c r="B32" s="4">
        <v>1532</v>
      </c>
      <c r="C32" s="5" t="s">
        <v>56</v>
      </c>
      <c r="D32" s="4" t="s">
        <v>30</v>
      </c>
      <c r="E32" s="4">
        <v>6</v>
      </c>
      <c r="F32" s="4" t="s">
        <v>16</v>
      </c>
      <c r="G32" s="4"/>
      <c r="H32" s="3" t="s">
        <v>17</v>
      </c>
      <c r="I32" s="9" t="s">
        <v>18</v>
      </c>
    </row>
    <row r="33" spans="1:9" ht="16.5">
      <c r="A33" s="7" t="s">
        <v>55</v>
      </c>
      <c r="B33" s="7">
        <v>1386</v>
      </c>
      <c r="C33" s="8" t="s">
        <v>57</v>
      </c>
      <c r="D33" s="7" t="s">
        <v>30</v>
      </c>
      <c r="E33" s="7">
        <v>6</v>
      </c>
      <c r="F33" s="7" t="s">
        <v>16</v>
      </c>
      <c r="G33" s="7" t="s">
        <v>16</v>
      </c>
      <c r="H33" s="9" t="s">
        <v>17</v>
      </c>
      <c r="I33" s="3" t="s">
        <v>24</v>
      </c>
    </row>
    <row r="34" spans="1:9" ht="16.5">
      <c r="A34" s="4" t="s">
        <v>55</v>
      </c>
      <c r="B34" s="4">
        <v>1198</v>
      </c>
      <c r="C34" s="5" t="s">
        <v>58</v>
      </c>
      <c r="D34" s="4" t="s">
        <v>30</v>
      </c>
      <c r="E34" s="4">
        <v>6</v>
      </c>
      <c r="F34" s="4" t="s">
        <v>16</v>
      </c>
      <c r="G34" s="4" t="s">
        <v>16</v>
      </c>
      <c r="H34" s="3" t="s">
        <v>17</v>
      </c>
      <c r="I34" s="3" t="s">
        <v>24</v>
      </c>
    </row>
    <row r="35" spans="1:9" ht="16.5">
      <c r="A35" s="4" t="s">
        <v>55</v>
      </c>
      <c r="B35" s="4">
        <v>1537</v>
      </c>
      <c r="C35" s="5" t="s">
        <v>59</v>
      </c>
      <c r="D35" s="10" t="s">
        <v>60</v>
      </c>
      <c r="E35" s="10">
        <v>6</v>
      </c>
      <c r="F35" s="10" t="s">
        <v>16</v>
      </c>
      <c r="G35" s="7"/>
      <c r="H35" s="9" t="s">
        <v>17</v>
      </c>
      <c r="I35" s="3" t="s">
        <v>24</v>
      </c>
    </row>
    <row r="36" spans="1:9" ht="16.5">
      <c r="A36" s="1" t="s">
        <v>55</v>
      </c>
      <c r="B36" s="4">
        <v>1375</v>
      </c>
      <c r="C36" s="5" t="s">
        <v>61</v>
      </c>
      <c r="D36" s="1" t="s">
        <v>60</v>
      </c>
      <c r="E36" s="1">
        <v>6</v>
      </c>
      <c r="F36" s="1" t="s">
        <v>16</v>
      </c>
      <c r="G36" s="4"/>
      <c r="H36" s="3" t="s">
        <v>35</v>
      </c>
      <c r="I36" s="3" t="s">
        <v>24</v>
      </c>
    </row>
    <row r="37" spans="1:9" ht="16.5">
      <c r="A37" s="7" t="s">
        <v>55</v>
      </c>
      <c r="B37" s="7">
        <v>1533</v>
      </c>
      <c r="C37" s="8" t="s">
        <v>62</v>
      </c>
      <c r="D37" s="7" t="s">
        <v>30</v>
      </c>
      <c r="E37" s="7">
        <v>6</v>
      </c>
      <c r="F37" s="7" t="s">
        <v>16</v>
      </c>
      <c r="G37" s="7" t="s">
        <v>16</v>
      </c>
      <c r="H37" s="9" t="s">
        <v>17</v>
      </c>
      <c r="I37" s="9" t="s">
        <v>18</v>
      </c>
    </row>
    <row r="38" spans="1:9" ht="16.5">
      <c r="A38" s="1" t="s">
        <v>55</v>
      </c>
      <c r="B38" s="4">
        <v>1500</v>
      </c>
      <c r="C38" s="5" t="s">
        <v>63</v>
      </c>
      <c r="D38" s="1" t="s">
        <v>60</v>
      </c>
      <c r="E38" s="1">
        <v>12</v>
      </c>
      <c r="F38" s="1"/>
      <c r="G38" s="1" t="s">
        <v>16</v>
      </c>
      <c r="H38" s="2" t="s">
        <v>17</v>
      </c>
      <c r="I38" s="3" t="s">
        <v>24</v>
      </c>
    </row>
    <row r="39" spans="1:9" ht="16.5">
      <c r="A39" s="7" t="s">
        <v>55</v>
      </c>
      <c r="B39" s="7">
        <v>1103</v>
      </c>
      <c r="C39" s="8" t="s">
        <v>64</v>
      </c>
      <c r="D39" s="7" t="s">
        <v>30</v>
      </c>
      <c r="E39" s="7">
        <v>12</v>
      </c>
      <c r="F39" s="7" t="s">
        <v>16</v>
      </c>
      <c r="G39" s="7" t="s">
        <v>16</v>
      </c>
      <c r="H39" s="9" t="s">
        <v>35</v>
      </c>
      <c r="I39" s="9" t="s">
        <v>27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7" r:id="rId34" xr:uid="{00000000-0004-0000-0000-000021000000}"/>
    <hyperlink ref="C39" r:id="rId35" xr:uid="{00000000-0004-0000-0000-000022000000}"/>
  </hyperlinks>
  <pageMargins left="0.7" right="0.7" top="0.75" bottom="0.75" header="0.511811023622047" footer="0.511811023622047"/>
  <pageSetup orientation="portrait" horizontalDpi="300" verticalDpi="300"/>
  <tableParts count="1"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XYZ</dc:creator>
  <cp:keywords/>
  <dc:description/>
  <cp:lastModifiedBy>Alexander Kalis</cp:lastModifiedBy>
  <cp:revision>1</cp:revision>
  <dcterms:created xsi:type="dcterms:W3CDTF">2020-01-06T13:52:06Z</dcterms:created>
  <dcterms:modified xsi:type="dcterms:W3CDTF">2025-09-16T07:50:14Z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022a7fb1-ed53-4688-a4b3-201471a8c924</vt:lpwstr>
  </property>
</Properties>
</file>